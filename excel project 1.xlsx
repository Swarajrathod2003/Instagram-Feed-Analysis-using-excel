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Swaraj\Desktop\"/>
    </mc:Choice>
  </mc:AlternateContent>
  <xr:revisionPtr revIDLastSave="0" documentId="8_{D8F8808E-708F-4A29-AC0C-EDC62D394BCC}" xr6:coauthVersionLast="47" xr6:coauthVersionMax="47" xr10:uidLastSave="{00000000-0000-0000-0000-000000000000}"/>
  <bookViews>
    <workbookView xWindow="-108" yWindow="-108" windowWidth="23256" windowHeight="13896" firstSheet="2" activeTab="5" xr2:uid="{41B6C513-99E9-48EF-8846-BFDC5E2F0D43}"/>
  </bookViews>
  <sheets>
    <sheet name="User_data" sheetId="1" r:id="rId1"/>
    <sheet name="Weight_Chart" sheetId="2" r:id="rId2"/>
    <sheet name="Engagement_per_Category" sheetId="3" r:id="rId3"/>
    <sheet name="KPIs" sheetId="4" r:id="rId4"/>
    <sheet name="Pivot tables" sheetId="5" r:id="rId5"/>
    <sheet name="Dashboard" sheetId="6" r:id="rId6"/>
  </sheets>
  <definedNames>
    <definedName name="Category">User_data!$C$3:$C$502</definedName>
    <definedName name="Comments">User_data!$E$3:$E$502</definedName>
    <definedName name="Engagement_Score">User_data!$H$3:$H$502</definedName>
    <definedName name="Likes">User_data!$D$3:$D$502</definedName>
    <definedName name="Post_ID">User_data!$B$3:$B$502</definedName>
    <definedName name="Saves">User_data!$G$3:$G$502</definedName>
    <definedName name="Slicer_Category">#N/A</definedName>
    <definedName name="Slicer_User_ID">#N/A</definedName>
    <definedName name="User_ID">User_data!$A$3:$A$502</definedName>
    <definedName name="Watch_Time_sec">User_data!$F$3:$F$502</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6" l="1"/>
  <c r="K5" i="6"/>
  <c r="F5" i="6"/>
  <c r="A5" i="6"/>
  <c r="B6" i="4"/>
  <c r="B5" i="4" a="1"/>
  <c r="B5" i="4" s="1"/>
  <c r="B4" i="4"/>
  <c r="B3" i="4"/>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3" i="3"/>
  <c r="B4" i="3"/>
  <c r="H4" i="3" s="1"/>
  <c r="B5" i="3"/>
  <c r="H5" i="3" s="1"/>
  <c r="B6" i="3"/>
  <c r="H6" i="3" s="1"/>
  <c r="B7" i="3"/>
  <c r="H7" i="3" s="1"/>
  <c r="B8" i="3"/>
  <c r="H8" i="3" s="1"/>
  <c r="B9" i="3"/>
  <c r="H9" i="3" s="1"/>
  <c r="B10" i="3"/>
  <c r="H10" i="3" s="1"/>
  <c r="B11" i="3"/>
  <c r="H11" i="3" s="1"/>
  <c r="B12" i="3"/>
  <c r="H12" i="3" s="1"/>
  <c r="B13" i="3"/>
  <c r="H13" i="3" s="1"/>
  <c r="B14" i="3"/>
  <c r="H14" i="3" s="1"/>
  <c r="B15" i="3"/>
  <c r="H15" i="3" s="1"/>
  <c r="B16" i="3"/>
  <c r="H16" i="3" s="1"/>
  <c r="B17" i="3"/>
  <c r="H17" i="3" s="1"/>
  <c r="B18" i="3"/>
  <c r="H18" i="3" s="1"/>
  <c r="B19" i="3"/>
  <c r="H19" i="3" s="1"/>
  <c r="B20" i="3"/>
  <c r="H20" i="3" s="1"/>
  <c r="B21" i="3"/>
  <c r="H21" i="3" s="1"/>
  <c r="B22" i="3"/>
  <c r="H22" i="3" s="1"/>
  <c r="B23" i="3"/>
  <c r="H23" i="3" s="1"/>
  <c r="B24" i="3"/>
  <c r="H24" i="3" s="1"/>
  <c r="B25" i="3"/>
  <c r="H25" i="3" s="1"/>
  <c r="B26" i="3"/>
  <c r="H26" i="3" s="1"/>
  <c r="B27" i="3"/>
  <c r="H27" i="3" s="1"/>
  <c r="B28" i="3"/>
  <c r="H28" i="3" s="1"/>
  <c r="B29" i="3"/>
  <c r="H29" i="3" s="1"/>
  <c r="B30" i="3"/>
  <c r="H30" i="3" s="1"/>
  <c r="B31" i="3"/>
  <c r="H31" i="3" s="1"/>
  <c r="B32" i="3"/>
  <c r="H32" i="3" s="1"/>
  <c r="B33" i="3"/>
  <c r="H33" i="3" s="1"/>
  <c r="B34" i="3"/>
  <c r="H34" i="3" s="1"/>
  <c r="B35" i="3"/>
  <c r="H35" i="3" s="1"/>
  <c r="B36" i="3"/>
  <c r="H36" i="3" s="1"/>
  <c r="B37" i="3"/>
  <c r="H37" i="3" s="1"/>
  <c r="B38" i="3"/>
  <c r="H38" i="3" s="1"/>
  <c r="B39" i="3"/>
  <c r="H39" i="3" s="1"/>
  <c r="B40" i="3"/>
  <c r="H40" i="3" s="1"/>
  <c r="B41" i="3"/>
  <c r="H41" i="3" s="1"/>
  <c r="B42" i="3"/>
  <c r="H42" i="3" s="1"/>
  <c r="B43" i="3"/>
  <c r="H43" i="3" s="1"/>
  <c r="B44" i="3"/>
  <c r="H44" i="3" s="1"/>
  <c r="B45" i="3"/>
  <c r="H45" i="3" s="1"/>
  <c r="B46" i="3"/>
  <c r="H46" i="3" s="1"/>
  <c r="B47" i="3"/>
  <c r="H47" i="3" s="1"/>
  <c r="B48" i="3"/>
  <c r="H48" i="3" s="1"/>
  <c r="B49" i="3"/>
  <c r="H49" i="3" s="1"/>
  <c r="B50" i="3"/>
  <c r="H50" i="3" s="1"/>
  <c r="B51" i="3"/>
  <c r="H51" i="3" s="1"/>
  <c r="B52" i="3"/>
  <c r="H52" i="3" s="1"/>
  <c r="B3" i="3"/>
  <c r="H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<sst xmlns="http://schemas.openxmlformats.org/spreadsheetml/2006/main" count="1670" uniqueCount="595">
  <si>
    <t>User_ID</t>
  </si>
  <si>
    <t>Post_ID</t>
  </si>
  <si>
    <t>Category</t>
  </si>
  <si>
    <t>Likes</t>
  </si>
  <si>
    <t>Comments</t>
  </si>
  <si>
    <t>Watch_Time(sec)</t>
  </si>
  <si>
    <t>Saves</t>
  </si>
  <si>
    <t>U001</t>
  </si>
  <si>
    <t>P098</t>
  </si>
  <si>
    <t>Sports</t>
  </si>
  <si>
    <t>P103</t>
  </si>
  <si>
    <t>P134</t>
  </si>
  <si>
    <t>Tech</t>
  </si>
  <si>
    <t>P140</t>
  </si>
  <si>
    <t>P186</t>
  </si>
  <si>
    <t>Fashion</t>
  </si>
  <si>
    <t>P224</t>
  </si>
  <si>
    <t>P265</t>
  </si>
  <si>
    <t>P281</t>
  </si>
  <si>
    <t>Food</t>
  </si>
  <si>
    <t>P415</t>
  </si>
  <si>
    <t>Travel</t>
  </si>
  <si>
    <t>P467</t>
  </si>
  <si>
    <t>Entertainment</t>
  </si>
  <si>
    <t>P468</t>
  </si>
  <si>
    <t>P476</t>
  </si>
  <si>
    <t>U002</t>
  </si>
  <si>
    <t>P018</t>
  </si>
  <si>
    <t>P023</t>
  </si>
  <si>
    <t>P051</t>
  </si>
  <si>
    <t>P066</t>
  </si>
  <si>
    <t>P171</t>
  </si>
  <si>
    <t>P210</t>
  </si>
  <si>
    <t>P217</t>
  </si>
  <si>
    <t>P218</t>
  </si>
  <si>
    <t>P226</t>
  </si>
  <si>
    <t>P280</t>
  </si>
  <si>
    <t>P314</t>
  </si>
  <si>
    <t>P391</t>
  </si>
  <si>
    <t>P394</t>
  </si>
  <si>
    <t>P425</t>
  </si>
  <si>
    <t>U003</t>
  </si>
  <si>
    <t>P016</t>
  </si>
  <si>
    <t>P038</t>
  </si>
  <si>
    <t>P139</t>
  </si>
  <si>
    <t>P190</t>
  </si>
  <si>
    <t>P211</t>
  </si>
  <si>
    <t>P249</t>
  </si>
  <si>
    <t>P254</t>
  </si>
  <si>
    <t>P293</t>
  </si>
  <si>
    <t>P328</t>
  </si>
  <si>
    <t>P377</t>
  </si>
  <si>
    <t>P382</t>
  </si>
  <si>
    <t>P482</t>
  </si>
  <si>
    <t>U004</t>
  </si>
  <si>
    <t>P045</t>
  </si>
  <si>
    <t>P065</t>
  </si>
  <si>
    <t>P069</t>
  </si>
  <si>
    <t>P156</t>
  </si>
  <si>
    <t>P232</t>
  </si>
  <si>
    <t>P320</t>
  </si>
  <si>
    <t>P353</t>
  </si>
  <si>
    <t>P444</t>
  </si>
  <si>
    <t>U005</t>
  </si>
  <si>
    <t>P113</t>
  </si>
  <si>
    <t>P141</t>
  </si>
  <si>
    <t>P237</t>
  </si>
  <si>
    <t>P284</t>
  </si>
  <si>
    <t>P350</t>
  </si>
  <si>
    <t>P442</t>
  </si>
  <si>
    <t>P479</t>
  </si>
  <si>
    <t>P491</t>
  </si>
  <si>
    <t>P496</t>
  </si>
  <si>
    <t>U006</t>
  </si>
  <si>
    <t>P067</t>
  </si>
  <si>
    <t>P174</t>
  </si>
  <si>
    <t>P192</t>
  </si>
  <si>
    <t>P230</t>
  </si>
  <si>
    <t>P239</t>
  </si>
  <si>
    <t>P246</t>
  </si>
  <si>
    <t>P362</t>
  </si>
  <si>
    <t>P434</t>
  </si>
  <si>
    <t>P445</t>
  </si>
  <si>
    <t>U007</t>
  </si>
  <si>
    <t>P040</t>
  </si>
  <si>
    <t>P055</t>
  </si>
  <si>
    <t>P100</t>
  </si>
  <si>
    <t>P118</t>
  </si>
  <si>
    <t>P168</t>
  </si>
  <si>
    <t>P258</t>
  </si>
  <si>
    <t>P275</t>
  </si>
  <si>
    <t>P327</t>
  </si>
  <si>
    <t>P411</t>
  </si>
  <si>
    <t>U008</t>
  </si>
  <si>
    <t>P005</t>
  </si>
  <si>
    <t>P057</t>
  </si>
  <si>
    <t>P081</t>
  </si>
  <si>
    <t>P105</t>
  </si>
  <si>
    <t>P109</t>
  </si>
  <si>
    <t>P120</t>
  </si>
  <si>
    <t>P193</t>
  </si>
  <si>
    <t>P300</t>
  </si>
  <si>
    <t>P326</t>
  </si>
  <si>
    <t>P340</t>
  </si>
  <si>
    <t>P416</t>
  </si>
  <si>
    <t>P439</t>
  </si>
  <si>
    <t>U009</t>
  </si>
  <si>
    <t>P042</t>
  </si>
  <si>
    <t>P049</t>
  </si>
  <si>
    <t>P101</t>
  </si>
  <si>
    <t>P119</t>
  </si>
  <si>
    <t>P146</t>
  </si>
  <si>
    <t>P195</t>
  </si>
  <si>
    <t>P245</t>
  </si>
  <si>
    <t>P287</t>
  </si>
  <si>
    <t>P399</t>
  </si>
  <si>
    <t>P465</t>
  </si>
  <si>
    <t>U010</t>
  </si>
  <si>
    <t>P075</t>
  </si>
  <si>
    <t>U011</t>
  </si>
  <si>
    <t>P010</t>
  </si>
  <si>
    <t>P011</t>
  </si>
  <si>
    <t>P107</t>
  </si>
  <si>
    <t>P181</t>
  </si>
  <si>
    <t>P233</t>
  </si>
  <si>
    <t>P241</t>
  </si>
  <si>
    <t>P266</t>
  </si>
  <si>
    <t>P298</t>
  </si>
  <si>
    <t>U012</t>
  </si>
  <si>
    <t>P026</t>
  </si>
  <si>
    <t>P121</t>
  </si>
  <si>
    <t>P208</t>
  </si>
  <si>
    <t>P283</t>
  </si>
  <si>
    <t>P332</t>
  </si>
  <si>
    <t>P420</t>
  </si>
  <si>
    <t>P466</t>
  </si>
  <si>
    <t>P483</t>
  </si>
  <si>
    <t>P497</t>
  </si>
  <si>
    <t>U013</t>
  </si>
  <si>
    <t>P151</t>
  </si>
  <si>
    <t>P166</t>
  </si>
  <si>
    <t>P188</t>
  </si>
  <si>
    <t>P410</t>
  </si>
  <si>
    <t>P453</t>
  </si>
  <si>
    <t>U014</t>
  </si>
  <si>
    <t>P047</t>
  </si>
  <si>
    <t>P060</t>
  </si>
  <si>
    <t>P077</t>
  </si>
  <si>
    <t>P082</t>
  </si>
  <si>
    <t>P138</t>
  </si>
  <si>
    <t>P143</t>
  </si>
  <si>
    <t>P322</t>
  </si>
  <si>
    <t>P419</t>
  </si>
  <si>
    <t>P489</t>
  </si>
  <si>
    <t>U015</t>
  </si>
  <si>
    <t>P003</t>
  </si>
  <si>
    <t>P035</t>
  </si>
  <si>
    <t>P080</t>
  </si>
  <si>
    <t>P096</t>
  </si>
  <si>
    <t>P147</t>
  </si>
  <si>
    <t>P148</t>
  </si>
  <si>
    <t>P162</t>
  </si>
  <si>
    <t>P201</t>
  </si>
  <si>
    <t>P422</t>
  </si>
  <si>
    <t>P435</t>
  </si>
  <si>
    <t>U016</t>
  </si>
  <si>
    <t>P034</t>
  </si>
  <si>
    <t>P086</t>
  </si>
  <si>
    <t>P243</t>
  </si>
  <si>
    <t>P247</t>
  </si>
  <si>
    <t>P276</t>
  </si>
  <si>
    <t>P292</t>
  </si>
  <si>
    <t>P316</t>
  </si>
  <si>
    <t>P418</t>
  </si>
  <si>
    <t>P452</t>
  </si>
  <si>
    <t>P477</t>
  </si>
  <si>
    <t>P485</t>
  </si>
  <si>
    <t>P498</t>
  </si>
  <si>
    <t>U017</t>
  </si>
  <si>
    <t>P061</t>
  </si>
  <si>
    <t>P108</t>
  </si>
  <si>
    <t>P215</t>
  </si>
  <si>
    <t>P234</t>
  </si>
  <si>
    <t>P329</t>
  </si>
  <si>
    <t>P356</t>
  </si>
  <si>
    <t>P396</t>
  </si>
  <si>
    <t>P458</t>
  </si>
  <si>
    <t>U018</t>
  </si>
  <si>
    <t>P044</t>
  </si>
  <si>
    <t>P071</t>
  </si>
  <si>
    <t>P088</t>
  </si>
  <si>
    <t>P263</t>
  </si>
  <si>
    <t>P311</t>
  </si>
  <si>
    <t>P313</t>
  </si>
  <si>
    <t>P378</t>
  </si>
  <si>
    <t>U019</t>
  </si>
  <si>
    <t>P008</t>
  </si>
  <si>
    <t>P225</t>
  </si>
  <si>
    <t>P252</t>
  </si>
  <si>
    <t>P255</t>
  </si>
  <si>
    <t>P290</t>
  </si>
  <si>
    <t>P352</t>
  </si>
  <si>
    <t>P457</t>
  </si>
  <si>
    <t>P459</t>
  </si>
  <si>
    <t>U020</t>
  </si>
  <si>
    <t>P052</t>
  </si>
  <si>
    <t>P179</t>
  </si>
  <si>
    <t>P250</t>
  </si>
  <si>
    <t>P256</t>
  </si>
  <si>
    <t>P294</t>
  </si>
  <si>
    <t>P304</t>
  </si>
  <si>
    <t>P325</t>
  </si>
  <si>
    <t>P414</t>
  </si>
  <si>
    <t>U021</t>
  </si>
  <si>
    <t>P006</t>
  </si>
  <si>
    <t>P024</t>
  </si>
  <si>
    <t>P041</t>
  </si>
  <si>
    <t>P085</t>
  </si>
  <si>
    <t>P323</t>
  </si>
  <si>
    <t>P344</t>
  </si>
  <si>
    <t>P373</t>
  </si>
  <si>
    <t>U022</t>
  </si>
  <si>
    <t>P017</t>
  </si>
  <si>
    <t>P027</t>
  </si>
  <si>
    <t>P131</t>
  </si>
  <si>
    <t>P169</t>
  </si>
  <si>
    <t>P240</t>
  </si>
  <si>
    <t>P333</t>
  </si>
  <si>
    <t>P334</t>
  </si>
  <si>
    <t>P389</t>
  </si>
  <si>
    <t>P428</t>
  </si>
  <si>
    <t>P430</t>
  </si>
  <si>
    <t>P431</t>
  </si>
  <si>
    <t>P480</t>
  </si>
  <si>
    <t>P487</t>
  </si>
  <si>
    <t>U023</t>
  </si>
  <si>
    <t>P009</t>
  </si>
  <si>
    <t>P083</t>
  </si>
  <si>
    <t>P125</t>
  </si>
  <si>
    <t>P159</t>
  </si>
  <si>
    <t>P220</t>
  </si>
  <si>
    <t>P270</t>
  </si>
  <si>
    <t>P375</t>
  </si>
  <si>
    <t>P390</t>
  </si>
  <si>
    <t>P421</t>
  </si>
  <si>
    <t>P427</t>
  </si>
  <si>
    <t>P464</t>
  </si>
  <si>
    <t>U024</t>
  </si>
  <si>
    <t>P012</t>
  </si>
  <si>
    <t>P015</t>
  </si>
  <si>
    <t>P019</t>
  </si>
  <si>
    <t>P090</t>
  </si>
  <si>
    <t>P102</t>
  </si>
  <si>
    <t>P106</t>
  </si>
  <si>
    <t>P126</t>
  </si>
  <si>
    <t>P200</t>
  </si>
  <si>
    <t>P204</t>
  </si>
  <si>
    <t>P236</t>
  </si>
  <si>
    <t>P295</t>
  </si>
  <si>
    <t>P297</t>
  </si>
  <si>
    <t>P366</t>
  </si>
  <si>
    <t>P385</t>
  </si>
  <si>
    <t>P409</t>
  </si>
  <si>
    <t>U025</t>
  </si>
  <si>
    <t>P029</t>
  </si>
  <si>
    <t>P046</t>
  </si>
  <si>
    <t>P092</t>
  </si>
  <si>
    <t>P099</t>
  </si>
  <si>
    <t>P183</t>
  </si>
  <si>
    <t>P268</t>
  </si>
  <si>
    <t>P307</t>
  </si>
  <si>
    <t>P309</t>
  </si>
  <si>
    <t>P379</t>
  </si>
  <si>
    <t>P408</t>
  </si>
  <si>
    <t>P429</t>
  </si>
  <si>
    <t>P473</t>
  </si>
  <si>
    <t>U026</t>
  </si>
  <si>
    <t>P050</t>
  </si>
  <si>
    <t>P072</t>
  </si>
  <si>
    <t>P091</t>
  </si>
  <si>
    <t>P142</t>
  </si>
  <si>
    <t>P149</t>
  </si>
  <si>
    <t>P228</t>
  </si>
  <si>
    <t>P253</t>
  </si>
  <si>
    <t>P277</t>
  </si>
  <si>
    <t>P395</t>
  </si>
  <si>
    <t>P405</t>
  </si>
  <si>
    <t>P461</t>
  </si>
  <si>
    <t>P463</t>
  </si>
  <si>
    <t>P484</t>
  </si>
  <si>
    <t>P499</t>
  </si>
  <si>
    <t>P500</t>
  </si>
  <si>
    <t>U027</t>
  </si>
  <si>
    <t>P031</t>
  </si>
  <si>
    <t>P132</t>
  </si>
  <si>
    <t>P145</t>
  </si>
  <si>
    <t>P187</t>
  </si>
  <si>
    <t>P194</t>
  </si>
  <si>
    <t>P341</t>
  </si>
  <si>
    <t>P342</t>
  </si>
  <si>
    <t>P392</t>
  </si>
  <si>
    <t>U028</t>
  </si>
  <si>
    <t>P033</t>
  </si>
  <si>
    <t>P053</t>
  </si>
  <si>
    <t>P117</t>
  </si>
  <si>
    <t>P170</t>
  </si>
  <si>
    <t>P175</t>
  </si>
  <si>
    <t>P176</t>
  </si>
  <si>
    <t>P182</t>
  </si>
  <si>
    <t>P219</t>
  </si>
  <si>
    <t>P267</t>
  </si>
  <si>
    <t>P347</t>
  </si>
  <si>
    <t>P358</t>
  </si>
  <si>
    <t>P423</t>
  </si>
  <si>
    <t>P460</t>
  </si>
  <si>
    <t>P490</t>
  </si>
  <si>
    <t>U029</t>
  </si>
  <si>
    <t>P002</t>
  </si>
  <si>
    <t>P070</t>
  </si>
  <si>
    <t>P095</t>
  </si>
  <si>
    <t>P164</t>
  </si>
  <si>
    <t>P248</t>
  </si>
  <si>
    <t>P310</t>
  </si>
  <si>
    <t>P360</t>
  </si>
  <si>
    <t>P367</t>
  </si>
  <si>
    <t>P403</t>
  </si>
  <si>
    <t>P481</t>
  </si>
  <si>
    <t>P488</t>
  </si>
  <si>
    <t>U030</t>
  </si>
  <si>
    <t>P021</t>
  </si>
  <si>
    <t>P157</t>
  </si>
  <si>
    <t>P180</t>
  </si>
  <si>
    <t>P272</t>
  </si>
  <si>
    <t>P336</t>
  </si>
  <si>
    <t>P345</t>
  </si>
  <si>
    <t>P359</t>
  </si>
  <si>
    <t>P448</t>
  </si>
  <si>
    <t>P456</t>
  </si>
  <si>
    <t>P494</t>
  </si>
  <si>
    <t>U031</t>
  </si>
  <si>
    <t>P078</t>
  </si>
  <si>
    <t>P271</t>
  </si>
  <si>
    <t>P370</t>
  </si>
  <si>
    <t>P381</t>
  </si>
  <si>
    <t>U032</t>
  </si>
  <si>
    <t>P152</t>
  </si>
  <si>
    <t>P155</t>
  </si>
  <si>
    <t>P167</t>
  </si>
  <si>
    <t>P202</t>
  </si>
  <si>
    <t>P203</t>
  </si>
  <si>
    <t>P222</t>
  </si>
  <si>
    <t>P229</t>
  </si>
  <si>
    <t>P231</t>
  </si>
  <si>
    <t>P257</t>
  </si>
  <si>
    <t>P286</t>
  </si>
  <si>
    <t>P374</t>
  </si>
  <si>
    <t>P387</t>
  </si>
  <si>
    <t>P426</t>
  </si>
  <si>
    <t>P447</t>
  </si>
  <si>
    <t>P471</t>
  </si>
  <si>
    <t>U033</t>
  </si>
  <si>
    <t>P025</t>
  </si>
  <si>
    <t>P112</t>
  </si>
  <si>
    <t>P123</t>
  </si>
  <si>
    <t>P185</t>
  </si>
  <si>
    <t>P197</t>
  </si>
  <si>
    <t>P223</t>
  </si>
  <si>
    <t>P244</t>
  </si>
  <si>
    <t>P260</t>
  </si>
  <si>
    <t>P296</t>
  </si>
  <si>
    <t>P319</t>
  </si>
  <si>
    <t>P321</t>
  </si>
  <si>
    <t>P330</t>
  </si>
  <si>
    <t>P346</t>
  </si>
  <si>
    <t>P349</t>
  </si>
  <si>
    <t>P372</t>
  </si>
  <si>
    <t>P376</t>
  </si>
  <si>
    <t>P398</t>
  </si>
  <si>
    <t>P438</t>
  </si>
  <si>
    <t>U034</t>
  </si>
  <si>
    <t>P074</t>
  </si>
  <si>
    <t>P122</t>
  </si>
  <si>
    <t>P238</t>
  </si>
  <si>
    <t>P343</t>
  </si>
  <si>
    <t>P424</t>
  </si>
  <si>
    <t>P470</t>
  </si>
  <si>
    <t>U035</t>
  </si>
  <si>
    <t>P059</t>
  </si>
  <si>
    <t>P110</t>
  </si>
  <si>
    <t>P111</t>
  </si>
  <si>
    <t>P128</t>
  </si>
  <si>
    <t>P133</t>
  </si>
  <si>
    <t>P135</t>
  </si>
  <si>
    <t>P274</t>
  </si>
  <si>
    <t>P289</t>
  </si>
  <si>
    <t>P305</t>
  </si>
  <si>
    <t>P308</t>
  </si>
  <si>
    <t>P315</t>
  </si>
  <si>
    <t>P354</t>
  </si>
  <si>
    <t>P363</t>
  </si>
  <si>
    <t>P371</t>
  </si>
  <si>
    <t>P406</t>
  </si>
  <si>
    <t>P450</t>
  </si>
  <si>
    <t>U036</t>
  </si>
  <si>
    <t>P013</t>
  </si>
  <si>
    <t>P062</t>
  </si>
  <si>
    <t>P076</t>
  </si>
  <si>
    <t>P165</t>
  </si>
  <si>
    <t>P251</t>
  </si>
  <si>
    <t>P301</t>
  </si>
  <si>
    <t>P318</t>
  </si>
  <si>
    <t>P412</t>
  </si>
  <si>
    <t>U037</t>
  </si>
  <si>
    <t>P039</t>
  </si>
  <si>
    <t>P127</t>
  </si>
  <si>
    <t>P136</t>
  </si>
  <si>
    <t>P158</t>
  </si>
  <si>
    <t>P196</t>
  </si>
  <si>
    <t>P213</t>
  </si>
  <si>
    <t>P221</t>
  </si>
  <si>
    <t>P285</t>
  </si>
  <si>
    <t>P365</t>
  </si>
  <si>
    <t>P437</t>
  </si>
  <si>
    <t>P462</t>
  </si>
  <si>
    <t>P486</t>
  </si>
  <si>
    <t>U038</t>
  </si>
  <si>
    <t>P022</t>
  </si>
  <si>
    <t>P235</t>
  </si>
  <si>
    <t>P302</t>
  </si>
  <si>
    <t>P337</t>
  </si>
  <si>
    <t>P338</t>
  </si>
  <si>
    <t>U039</t>
  </si>
  <si>
    <t>P001</t>
  </si>
  <si>
    <t>P007</t>
  </si>
  <si>
    <t>P043</t>
  </si>
  <si>
    <t>P115</t>
  </si>
  <si>
    <t>P144</t>
  </si>
  <si>
    <t>P153</t>
  </si>
  <si>
    <t>P160</t>
  </si>
  <si>
    <t>P184</t>
  </si>
  <si>
    <t>P191</t>
  </si>
  <si>
    <t>P209</t>
  </si>
  <si>
    <t>P262</t>
  </si>
  <si>
    <t>P402</t>
  </si>
  <si>
    <t>P443</t>
  </si>
  <si>
    <t>P478</t>
  </si>
  <si>
    <t>U040</t>
  </si>
  <si>
    <t>P014</t>
  </si>
  <si>
    <t>P064</t>
  </si>
  <si>
    <t>P084</t>
  </si>
  <si>
    <t>P130</t>
  </si>
  <si>
    <t>P261</t>
  </si>
  <si>
    <t>P264</t>
  </si>
  <si>
    <t>P303</t>
  </si>
  <si>
    <t>P383</t>
  </si>
  <si>
    <t>P397</t>
  </si>
  <si>
    <t>P451</t>
  </si>
  <si>
    <t>P474</t>
  </si>
  <si>
    <t>U041</t>
  </si>
  <si>
    <t>P094</t>
  </si>
  <si>
    <t>P116</t>
  </si>
  <si>
    <t>P189</t>
  </si>
  <si>
    <t>P205</t>
  </si>
  <si>
    <t>P259</t>
  </si>
  <si>
    <t>P288</t>
  </si>
  <si>
    <t>P317</t>
  </si>
  <si>
    <t>P364</t>
  </si>
  <si>
    <t>U042</t>
  </si>
  <si>
    <t>P032</t>
  </si>
  <si>
    <t>P068</t>
  </si>
  <si>
    <t>P114</t>
  </si>
  <si>
    <t>P150</t>
  </si>
  <si>
    <t>P172</t>
  </si>
  <si>
    <t>P198</t>
  </si>
  <si>
    <t>P273</t>
  </si>
  <si>
    <t>P380</t>
  </si>
  <si>
    <t>P393</t>
  </si>
  <si>
    <t>P404</t>
  </si>
  <si>
    <t>P433</t>
  </si>
  <si>
    <t>P455</t>
  </si>
  <si>
    <t>U043</t>
  </si>
  <si>
    <t>P004</t>
  </si>
  <si>
    <t>P163</t>
  </si>
  <si>
    <t>P400</t>
  </si>
  <si>
    <t>P436</t>
  </si>
  <si>
    <t>U044</t>
  </si>
  <si>
    <t>P020</t>
  </si>
  <si>
    <t>P028</t>
  </si>
  <si>
    <t>P037</t>
  </si>
  <si>
    <t>P056</t>
  </si>
  <si>
    <t>P073</t>
  </si>
  <si>
    <t>P104</t>
  </si>
  <si>
    <t>P129</t>
  </si>
  <si>
    <t>P177</t>
  </si>
  <si>
    <t>P178</t>
  </si>
  <si>
    <t>P199</t>
  </si>
  <si>
    <t>P227</t>
  </si>
  <si>
    <t>P357</t>
  </si>
  <si>
    <t>P440</t>
  </si>
  <si>
    <t>P441</t>
  </si>
  <si>
    <t>U045</t>
  </si>
  <si>
    <t>P087</t>
  </si>
  <si>
    <t>P093</t>
  </si>
  <si>
    <t>P097</t>
  </si>
  <si>
    <t>P161</t>
  </si>
  <si>
    <t>P173</t>
  </si>
  <si>
    <t>P339</t>
  </si>
  <si>
    <t>P413</t>
  </si>
  <si>
    <t>P446</t>
  </si>
  <si>
    <t>P475</t>
  </si>
  <si>
    <t>U046</t>
  </si>
  <si>
    <t>P312</t>
  </si>
  <si>
    <t>P335</t>
  </si>
  <si>
    <t>P361</t>
  </si>
  <si>
    <t>P369</t>
  </si>
  <si>
    <t>P384</t>
  </si>
  <si>
    <t>P417</t>
  </si>
  <si>
    <t>P495</t>
  </si>
  <si>
    <t>U047</t>
  </si>
  <si>
    <t>P036</t>
  </si>
  <si>
    <t>P054</t>
  </si>
  <si>
    <t>P058</t>
  </si>
  <si>
    <t>P089</t>
  </si>
  <si>
    <t>P137</t>
  </si>
  <si>
    <t>P348</t>
  </si>
  <si>
    <t>P388</t>
  </si>
  <si>
    <t>P449</t>
  </si>
  <si>
    <t>P469</t>
  </si>
  <si>
    <t>P492</t>
  </si>
  <si>
    <t>U048</t>
  </si>
  <si>
    <t>P079</t>
  </si>
  <si>
    <t>P124</t>
  </si>
  <si>
    <t>P242</t>
  </si>
  <si>
    <t>P278</t>
  </si>
  <si>
    <t>P282</t>
  </si>
  <si>
    <t>P291</t>
  </si>
  <si>
    <t>P306</t>
  </si>
  <si>
    <t>P324</t>
  </si>
  <si>
    <t>P331</t>
  </si>
  <si>
    <t>P351</t>
  </si>
  <si>
    <t>P401</t>
  </si>
  <si>
    <t>P472</t>
  </si>
  <si>
    <t>U049</t>
  </si>
  <si>
    <t>P030</t>
  </si>
  <si>
    <t>P154</t>
  </si>
  <si>
    <t>P206</t>
  </si>
  <si>
    <t>P207</t>
  </si>
  <si>
    <t>P212</t>
  </si>
  <si>
    <t>P214</t>
  </si>
  <si>
    <t>P216</t>
  </si>
  <si>
    <t>P279</t>
  </si>
  <si>
    <t>P299</t>
  </si>
  <si>
    <t>P355</t>
  </si>
  <si>
    <t>P368</t>
  </si>
  <si>
    <t>P432</t>
  </si>
  <si>
    <t>P493</t>
  </si>
  <si>
    <t>U050</t>
  </si>
  <si>
    <t>P048</t>
  </si>
  <si>
    <t>P063</t>
  </si>
  <si>
    <t>P269</t>
  </si>
  <si>
    <t>P386</t>
  </si>
  <si>
    <t>P407</t>
  </si>
  <si>
    <t>P454</t>
  </si>
  <si>
    <t>Engagement_Score</t>
  </si>
  <si>
    <t>INSTAGRAM FEED ANALYSIS</t>
  </si>
  <si>
    <t>Weight Chart</t>
  </si>
  <si>
    <t>Activity</t>
  </si>
  <si>
    <t>Weight</t>
  </si>
  <si>
    <t>Like</t>
  </si>
  <si>
    <t>Comment</t>
  </si>
  <si>
    <t>Save</t>
  </si>
  <si>
    <t>Watch Time</t>
  </si>
  <si>
    <t>0.05 per second</t>
  </si>
  <si>
    <t>Top_Interest</t>
  </si>
  <si>
    <t>Engagement Per Category</t>
  </si>
  <si>
    <t>Key Performance Indicators</t>
  </si>
  <si>
    <t>name</t>
  </si>
  <si>
    <t>value</t>
  </si>
  <si>
    <t>Total Users</t>
  </si>
  <si>
    <t>Avg Engagement per User</t>
  </si>
  <si>
    <t>Highest Engagement User</t>
  </si>
  <si>
    <t>Trending Category</t>
  </si>
  <si>
    <t>User Interest Distribution</t>
  </si>
  <si>
    <t>Row Labels</t>
  </si>
  <si>
    <t>Grand Total</t>
  </si>
  <si>
    <t>Sum of Engagement_Score</t>
  </si>
  <si>
    <t>Content Preference Share</t>
  </si>
  <si>
    <t>Column Labels</t>
  </si>
  <si>
    <t>User Category Engagement</t>
  </si>
  <si>
    <t>Engagement By Category Per User</t>
  </si>
  <si>
    <t>INSTAGRAM FEED ANALYSIS DASHBOARD</t>
  </si>
  <si>
    <t>TOTAL USERS</t>
  </si>
  <si>
    <t>AVG ENGAGEMENT PER USER</t>
  </si>
  <si>
    <t>TRENDING CATEGORY</t>
  </si>
  <si>
    <t>HIGHEST ENGAGEMENT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</si>
</sst>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color theme="1"/>
      <name val="Times New Roman"/>
      <family val="1"/>
    </font>
    <font>
      <sz val="12"/>
      <color theme="1"/>
      <name val="Times New Roman"/>
      <family val="1"/>
    </font>
    <font>
      <sz val="11"/>
      <color theme="1"/>
      <name val="Times New Roman"/>
      <family val="1"/>
    </font>
    <font>
      <b/>
      <sz val="18"/>
      <color theme="1"/>
      <name val="Times New Roman"/>
      <family val="1"/>
    </font>
    <font>
      <b/>
      <sz val="26"/>
      <color theme="1"/>
      <name val="Times New Roman"/>
      <family val="1"/>
    </font>
    <font>
      <b/>
      <sz val="14"/>
      <color theme="0"/>
      <name val="Times New Roman"/>
      <family val="1"/>
    </font>
    <font>
      <sz val="24"/>
      <color theme="1"/>
      <name val="Times New Roman"/>
      <family val="1"/>
    </font>
  </fonts>
  <fills count="1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rgb="FFFFFF00"/>
        <bgColor theme="8"/>
      </patternFill>
    </fill>
    <fill>
      <patternFill patternType="solid">
        <fgColor rgb="FFFFF3FF"/>
        <bgColor indexed="64"/>
      </patternFill>
    </fill>
    <fill>
      <patternFill patternType="solid">
        <fgColor rgb="FFFFE5FF"/>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8" tint="-0.249977111117893"/>
        <bgColor indexed="64"/>
      </patternFill>
    </fill>
  </fills>
  <borders count="2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4" fillId="2" borderId="0" xfId="0" applyFont="1" applyFill="1" applyAlignment="1">
      <alignment horizontal="center" vertical="center"/>
    </xf>
    <xf numFmtId="0" fontId="2" fillId="0" borderId="3" xfId="0" applyFont="1" applyBorder="1"/>
    <xf numFmtId="0" fontId="4" fillId="2" borderId="10" xfId="0" applyFont="1" applyFill="1" applyBorder="1" applyAlignment="1">
      <alignment horizontal="center" vertical="center"/>
    </xf>
    <xf numFmtId="0" fontId="1" fillId="3" borderId="5" xfId="0" applyFont="1" applyFill="1" applyBorder="1" applyAlignment="1">
      <alignment horizontal="center" vertical="center" wrapText="1"/>
    </xf>
    <xf numFmtId="0" fontId="2" fillId="0" borderId="5" xfId="0" applyFont="1" applyBorder="1" applyAlignment="1">
      <alignment vertical="center" wrapText="1"/>
    </xf>
    <xf numFmtId="0" fontId="3" fillId="0" borderId="5" xfId="0" applyFont="1" applyBorder="1"/>
    <xf numFmtId="0" fontId="4" fillId="4" borderId="10" xfId="0" applyFont="1" applyFill="1" applyBorder="1" applyAlignment="1">
      <alignment horizontal="center" vertical="center"/>
    </xf>
    <xf numFmtId="0" fontId="1"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1" fillId="3" borderId="5" xfId="0" applyFont="1" applyFill="1" applyBorder="1" applyAlignment="1">
      <alignment horizontal="center"/>
    </xf>
    <xf numFmtId="1" fontId="2" fillId="0" borderId="5"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3" borderId="11" xfId="0" applyFill="1" applyBorder="1" applyAlignment="1">
      <alignment horizontal="center"/>
    </xf>
    <xf numFmtId="0" fontId="0" fillId="3" borderId="0" xfId="0" applyFill="1" applyAlignment="1">
      <alignment horizontal="center"/>
    </xf>
    <xf numFmtId="0" fontId="0" fillId="3" borderId="0" xfId="0" applyFill="1" applyAlignment="1">
      <alignment horizontal="center" vertical="center"/>
    </xf>
    <xf numFmtId="0" fontId="0" fillId="6" borderId="0" xfId="0" applyFill="1"/>
    <xf numFmtId="0" fontId="5" fillId="7" borderId="0" xfId="0" applyFont="1" applyFill="1" applyAlignment="1">
      <alignment horizontal="center" vertical="center"/>
    </xf>
    <xf numFmtId="0" fontId="6" fillId="8" borderId="12" xfId="0" applyFont="1" applyFill="1" applyBorder="1" applyAlignment="1">
      <alignment horizontal="center"/>
    </xf>
    <xf numFmtId="0" fontId="6" fillId="8" borderId="13" xfId="0" applyFont="1" applyFill="1" applyBorder="1" applyAlignment="1">
      <alignment horizontal="center"/>
    </xf>
    <xf numFmtId="0" fontId="6" fillId="8" borderId="14" xfId="0" applyFont="1" applyFill="1" applyBorder="1" applyAlignment="1">
      <alignment horizontal="center"/>
    </xf>
    <xf numFmtId="1" fontId="7" fillId="9" borderId="15" xfId="0" applyNumberFormat="1" applyFont="1" applyFill="1" applyBorder="1" applyAlignment="1">
      <alignment horizontal="center" vertical="center"/>
    </xf>
    <xf numFmtId="0" fontId="7" fillId="9" borderId="0" xfId="0" applyFont="1" applyFill="1" applyBorder="1" applyAlignment="1">
      <alignment horizontal="center" vertical="center"/>
    </xf>
    <xf numFmtId="0" fontId="7" fillId="9" borderId="16" xfId="0" applyFont="1" applyFill="1" applyBorder="1" applyAlignment="1">
      <alignment horizontal="center" vertical="center"/>
    </xf>
    <xf numFmtId="0" fontId="7" fillId="9" borderId="15" xfId="0" applyFont="1" applyFill="1" applyBorder="1" applyAlignment="1">
      <alignment horizontal="center" vertical="center"/>
    </xf>
    <xf numFmtId="0" fontId="7" fillId="9" borderId="17" xfId="0" applyFont="1" applyFill="1" applyBorder="1" applyAlignment="1">
      <alignment horizontal="center" vertical="center"/>
    </xf>
    <xf numFmtId="0" fontId="7" fillId="9" borderId="18" xfId="0" applyFont="1" applyFill="1" applyBorder="1" applyAlignment="1">
      <alignment horizontal="center" vertical="center"/>
    </xf>
    <xf numFmtId="0" fontId="7" fillId="9" borderId="19" xfId="0" applyFont="1" applyFill="1" applyBorder="1" applyAlignment="1">
      <alignment horizontal="center" vertical="center"/>
    </xf>
    <xf numFmtId="0" fontId="0" fillId="10" borderId="0" xfId="0" applyFill="1"/>
  </cellXfs>
  <cellStyles count="1">
    <cellStyle name="Normal" xfId="0" builtinId="0"/>
  </cellStyles>
  <dxfs count="12">
    <dxf>
      <font>
        <b/>
        <i val="0"/>
        <strike val="0"/>
        <condense val="0"/>
        <extend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style="thin">
          <color auto="1"/>
        </right>
        <top style="thin">
          <color auto="1"/>
        </top>
        <bottom style="thin">
          <color auto="1"/>
        </bottom>
        <vertical/>
        <horizontal/>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2" defaultPivotStyle="PivotStyleLight16"/>
  <colors>
    <mruColors>
      <color rgb="FFFFF3FF"/>
      <color rgb="FFFFE5FF"/>
      <color rgb="FFFF9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tables!User Interest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Interest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tables'!$A$3:$A$9</c:f>
              <c:strCache>
                <c:ptCount val="6"/>
                <c:pt idx="0">
                  <c:v>Entertainment</c:v>
                </c:pt>
                <c:pt idx="1">
                  <c:v>Fashion</c:v>
                </c:pt>
                <c:pt idx="2">
                  <c:v>Food</c:v>
                </c:pt>
                <c:pt idx="3">
                  <c:v>Sports</c:v>
                </c:pt>
                <c:pt idx="4">
                  <c:v>Tech</c:v>
                </c:pt>
                <c:pt idx="5">
                  <c:v>Travel</c:v>
                </c:pt>
              </c:strCache>
            </c:strRef>
          </c:cat>
          <c:val>
            <c:numRef>
              <c:f>'Pivot tables'!$B$3:$B$9</c:f>
              <c:numCache>
                <c:formatCode>General</c:formatCode>
                <c:ptCount val="6"/>
                <c:pt idx="0">
                  <c:v>3185.8499999999985</c:v>
                </c:pt>
                <c:pt idx="1">
                  <c:v>3999.1999999999994</c:v>
                </c:pt>
                <c:pt idx="2">
                  <c:v>4376.1499999999996</c:v>
                </c:pt>
                <c:pt idx="3">
                  <c:v>4015.8999999999992</c:v>
                </c:pt>
                <c:pt idx="4">
                  <c:v>3568.1999999999989</c:v>
                </c:pt>
                <c:pt idx="5">
                  <c:v>3904.8999999999996</c:v>
                </c:pt>
              </c:numCache>
            </c:numRef>
          </c:val>
          <c:extLst>
            <c:ext xmlns:c16="http://schemas.microsoft.com/office/drawing/2014/chart" uri="{C3380CC4-5D6E-409C-BE32-E72D297353CC}">
              <c16:uniqueId val="{00000000-FD03-43A5-AB50-BF43529A03CE}"/>
            </c:ext>
          </c:extLst>
        </c:ser>
        <c:dLbls>
          <c:showLegendKey val="0"/>
          <c:showVal val="0"/>
          <c:showCatName val="0"/>
          <c:showSerName val="0"/>
          <c:showPercent val="0"/>
          <c:showBubbleSize val="0"/>
        </c:dLbls>
        <c:gapWidth val="182"/>
        <c:axId val="202353264"/>
        <c:axId val="202342224"/>
      </c:barChart>
      <c:catAx>
        <c:axId val="20235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2224"/>
        <c:crosses val="autoZero"/>
        <c:auto val="1"/>
        <c:lblAlgn val="ctr"/>
        <c:lblOffset val="100"/>
        <c:noMultiLvlLbl val="0"/>
      </c:catAx>
      <c:valAx>
        <c:axId val="20234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Content</a:t>
            </a:r>
            <a:r>
              <a:rPr lang="en-IN" baseline="0"/>
              <a:t> Preference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2.128248031496063E-2"/>
              <c:y val="-3.9574219889180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1.8663385826771652E-2"/>
              <c:y val="3.828958880139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5.3786745406824148E-2"/>
              <c:y val="-3.553732866724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3.1848972003499565E-2"/>
              <c:y val="-1.7392096821230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1.0151793525809274E-2"/>
              <c:y val="-3.4713837853601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9430227471566055E-2"/>
              <c:y val="-5.10243511227763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D37-491A-9E41-ED69060030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1D37-491A-9E41-ED69060030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37-491A-9E41-ED69060030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1D37-491A-9E41-ED69060030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1D37-491A-9E41-ED69060030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1D37-491A-9E41-ED69060030EF}"/>
              </c:ext>
            </c:extLst>
          </c:dPt>
          <c:dLbls>
            <c:dLbl>
              <c:idx val="0"/>
              <c:layout>
                <c:manualLayout>
                  <c:x val="3.9430227471566055E-2"/>
                  <c:y val="-5.102435112277632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D37-491A-9E41-ED69060030EF}"/>
                </c:ext>
              </c:extLst>
            </c:dLbl>
            <c:dLbl>
              <c:idx val="1"/>
              <c:layout>
                <c:manualLayout>
                  <c:x val="1.0151793525809274E-2"/>
                  <c:y val="-3.47138378536016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D37-491A-9E41-ED69060030EF}"/>
                </c:ext>
              </c:extLst>
            </c:dLbl>
            <c:dLbl>
              <c:idx val="2"/>
              <c:layout>
                <c:manualLayout>
                  <c:x val="3.1848972003499565E-2"/>
                  <c:y val="-1.7392096821230679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37-491A-9E41-ED69060030EF}"/>
                </c:ext>
              </c:extLst>
            </c:dLbl>
            <c:dLbl>
              <c:idx val="3"/>
              <c:layout>
                <c:manualLayout>
                  <c:x val="-5.3786745406824148E-2"/>
                  <c:y val="-3.553732866724992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D37-491A-9E41-ED69060030EF}"/>
                </c:ext>
              </c:extLst>
            </c:dLbl>
            <c:dLbl>
              <c:idx val="4"/>
              <c:layout>
                <c:manualLayout>
                  <c:x val="-1.8663385826771652E-2"/>
                  <c:y val="3.82895888013998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37-491A-9E41-ED69060030EF}"/>
                </c:ext>
              </c:extLst>
            </c:dLbl>
            <c:dLbl>
              <c:idx val="5"/>
              <c:layout>
                <c:manualLayout>
                  <c:x val="-2.128248031496063E-2"/>
                  <c:y val="-3.957421988918051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D37-491A-9E41-ED69060030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tables'!$A$13:$A$19</c:f>
              <c:strCache>
                <c:ptCount val="6"/>
                <c:pt idx="0">
                  <c:v>Entertainment</c:v>
                </c:pt>
                <c:pt idx="1">
                  <c:v>Fashion</c:v>
                </c:pt>
                <c:pt idx="2">
                  <c:v>Food</c:v>
                </c:pt>
                <c:pt idx="3">
                  <c:v>Sports</c:v>
                </c:pt>
                <c:pt idx="4">
                  <c:v>Tech</c:v>
                </c:pt>
                <c:pt idx="5">
                  <c:v>Travel</c:v>
                </c:pt>
              </c:strCache>
            </c:strRef>
          </c:cat>
          <c:val>
            <c:numRef>
              <c:f>'Pivot tables'!$B$13:$B$19</c:f>
              <c:numCache>
                <c:formatCode>General</c:formatCode>
                <c:ptCount val="6"/>
                <c:pt idx="0">
                  <c:v>3185.8499999999985</c:v>
                </c:pt>
                <c:pt idx="1">
                  <c:v>3999.1999999999994</c:v>
                </c:pt>
                <c:pt idx="2">
                  <c:v>4376.1499999999996</c:v>
                </c:pt>
                <c:pt idx="3">
                  <c:v>4015.8999999999992</c:v>
                </c:pt>
                <c:pt idx="4">
                  <c:v>3568.1999999999989</c:v>
                </c:pt>
                <c:pt idx="5">
                  <c:v>3904.8999999999996</c:v>
                </c:pt>
              </c:numCache>
            </c:numRef>
          </c:val>
          <c:extLst>
            <c:ext xmlns:c16="http://schemas.microsoft.com/office/drawing/2014/chart" uri="{C3380CC4-5D6E-409C-BE32-E72D297353CC}">
              <c16:uniqueId val="{00000000-1D37-491A-9E41-ED69060030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a:t>
            </a:r>
            <a:r>
              <a:rPr lang="en-IN" baseline="0"/>
              <a:t> By Category Per User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tables'!$B$23:$B$24</c:f>
              <c:strCache>
                <c:ptCount val="1"/>
                <c:pt idx="0">
                  <c:v>Entertainment</c:v>
                </c:pt>
              </c:strCache>
            </c:strRef>
          </c:tx>
          <c:spPr>
            <a:solidFill>
              <a:schemeClr val="accent1"/>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tables'!$B$25:$B$75</c:f>
              <c:numCache>
                <c:formatCode>General</c:formatCode>
                <c:ptCount val="50"/>
                <c:pt idx="0">
                  <c:v>65.95</c:v>
                </c:pt>
                <c:pt idx="1">
                  <c:v>100.1</c:v>
                </c:pt>
                <c:pt idx="2">
                  <c:v>66.7</c:v>
                </c:pt>
                <c:pt idx="3">
                  <c:v>53.55</c:v>
                </c:pt>
                <c:pt idx="4">
                  <c:v>96.25</c:v>
                </c:pt>
                <c:pt idx="5">
                  <c:v>36.35</c:v>
                </c:pt>
                <c:pt idx="6">
                  <c:v>94.1</c:v>
                </c:pt>
                <c:pt idx="7">
                  <c:v>89.5</c:v>
                </c:pt>
                <c:pt idx="8">
                  <c:v>95.9</c:v>
                </c:pt>
                <c:pt idx="10">
                  <c:v>47.6</c:v>
                </c:pt>
                <c:pt idx="11">
                  <c:v>102.95</c:v>
                </c:pt>
                <c:pt idx="13">
                  <c:v>43.9</c:v>
                </c:pt>
                <c:pt idx="14">
                  <c:v>162.50000000000003</c:v>
                </c:pt>
                <c:pt idx="15">
                  <c:v>162.5</c:v>
                </c:pt>
                <c:pt idx="16">
                  <c:v>41.3</c:v>
                </c:pt>
                <c:pt idx="17">
                  <c:v>152.30000000000001</c:v>
                </c:pt>
                <c:pt idx="19">
                  <c:v>101.55000000000001</c:v>
                </c:pt>
                <c:pt idx="20">
                  <c:v>113.25</c:v>
                </c:pt>
                <c:pt idx="21">
                  <c:v>95.35</c:v>
                </c:pt>
                <c:pt idx="22">
                  <c:v>147.80000000000001</c:v>
                </c:pt>
                <c:pt idx="23">
                  <c:v>108.85</c:v>
                </c:pt>
                <c:pt idx="24">
                  <c:v>132.5</c:v>
                </c:pt>
                <c:pt idx="29">
                  <c:v>46.85</c:v>
                </c:pt>
                <c:pt idx="31">
                  <c:v>59.75</c:v>
                </c:pt>
                <c:pt idx="32">
                  <c:v>236.99999999999997</c:v>
                </c:pt>
                <c:pt idx="34">
                  <c:v>72.099999999999994</c:v>
                </c:pt>
                <c:pt idx="36">
                  <c:v>51.7</c:v>
                </c:pt>
                <c:pt idx="37">
                  <c:v>78.2</c:v>
                </c:pt>
                <c:pt idx="39">
                  <c:v>19</c:v>
                </c:pt>
                <c:pt idx="40">
                  <c:v>71.349999999999994</c:v>
                </c:pt>
                <c:pt idx="42">
                  <c:v>26.95</c:v>
                </c:pt>
                <c:pt idx="43">
                  <c:v>126</c:v>
                </c:pt>
                <c:pt idx="44">
                  <c:v>26.2</c:v>
                </c:pt>
                <c:pt idx="45">
                  <c:v>102.6</c:v>
                </c:pt>
                <c:pt idx="46">
                  <c:v>72.25</c:v>
                </c:pt>
                <c:pt idx="47">
                  <c:v>50.75</c:v>
                </c:pt>
                <c:pt idx="48">
                  <c:v>34.4</c:v>
                </c:pt>
              </c:numCache>
            </c:numRef>
          </c:val>
          <c:extLst>
            <c:ext xmlns:c16="http://schemas.microsoft.com/office/drawing/2014/chart" uri="{C3380CC4-5D6E-409C-BE32-E72D297353CC}">
              <c16:uniqueId val="{00000000-A322-42A6-9382-57A1D9E8FBBB}"/>
            </c:ext>
          </c:extLst>
        </c:ser>
        <c:ser>
          <c:idx val="1"/>
          <c:order val="1"/>
          <c:tx>
            <c:strRef>
              <c:f>'Pivot tables'!$C$23:$C$24</c:f>
              <c:strCache>
                <c:ptCount val="1"/>
                <c:pt idx="0">
                  <c:v>Fashion</c:v>
                </c:pt>
              </c:strCache>
            </c:strRef>
          </c:tx>
          <c:spPr>
            <a:solidFill>
              <a:schemeClr val="accent2"/>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tables'!$C$25:$C$75</c:f>
              <c:numCache>
                <c:formatCode>General</c:formatCode>
                <c:ptCount val="50"/>
                <c:pt idx="0">
                  <c:v>89.55</c:v>
                </c:pt>
                <c:pt idx="1">
                  <c:v>143.5</c:v>
                </c:pt>
                <c:pt idx="3">
                  <c:v>41.45</c:v>
                </c:pt>
                <c:pt idx="4">
                  <c:v>186.60000000000002</c:v>
                </c:pt>
                <c:pt idx="5">
                  <c:v>25.5</c:v>
                </c:pt>
                <c:pt idx="7">
                  <c:v>87.800000000000011</c:v>
                </c:pt>
                <c:pt idx="10">
                  <c:v>44.05</c:v>
                </c:pt>
                <c:pt idx="12">
                  <c:v>65.099999999999994</c:v>
                </c:pt>
                <c:pt idx="13">
                  <c:v>118.14999999999999</c:v>
                </c:pt>
                <c:pt idx="15">
                  <c:v>96.25</c:v>
                </c:pt>
                <c:pt idx="17">
                  <c:v>32.15</c:v>
                </c:pt>
                <c:pt idx="18">
                  <c:v>155.95000000000002</c:v>
                </c:pt>
                <c:pt idx="19">
                  <c:v>49.7</c:v>
                </c:pt>
                <c:pt idx="20">
                  <c:v>125.35</c:v>
                </c:pt>
                <c:pt idx="21">
                  <c:v>108.75</c:v>
                </c:pt>
                <c:pt idx="22">
                  <c:v>200.10000000000002</c:v>
                </c:pt>
                <c:pt idx="23">
                  <c:v>200.2</c:v>
                </c:pt>
                <c:pt idx="24">
                  <c:v>90.1</c:v>
                </c:pt>
                <c:pt idx="25">
                  <c:v>238</c:v>
                </c:pt>
                <c:pt idx="26">
                  <c:v>19.399999999999999</c:v>
                </c:pt>
                <c:pt idx="27">
                  <c:v>128.65</c:v>
                </c:pt>
                <c:pt idx="28">
                  <c:v>37.799999999999997</c:v>
                </c:pt>
                <c:pt idx="29">
                  <c:v>156.75</c:v>
                </c:pt>
                <c:pt idx="30">
                  <c:v>91.9</c:v>
                </c:pt>
                <c:pt idx="31">
                  <c:v>22.6</c:v>
                </c:pt>
                <c:pt idx="32">
                  <c:v>50.4</c:v>
                </c:pt>
                <c:pt idx="34">
                  <c:v>80.8</c:v>
                </c:pt>
                <c:pt idx="35">
                  <c:v>31.75</c:v>
                </c:pt>
                <c:pt idx="36">
                  <c:v>33.65</c:v>
                </c:pt>
                <c:pt idx="37">
                  <c:v>10.050000000000001</c:v>
                </c:pt>
                <c:pt idx="38">
                  <c:v>127.80000000000001</c:v>
                </c:pt>
                <c:pt idx="39">
                  <c:v>161.75</c:v>
                </c:pt>
                <c:pt idx="41">
                  <c:v>50.6</c:v>
                </c:pt>
                <c:pt idx="42">
                  <c:v>63.45</c:v>
                </c:pt>
                <c:pt idx="43">
                  <c:v>212.39999999999998</c:v>
                </c:pt>
                <c:pt idx="46">
                  <c:v>87.800000000000011</c:v>
                </c:pt>
                <c:pt idx="47">
                  <c:v>264.20000000000005</c:v>
                </c:pt>
                <c:pt idx="48">
                  <c:v>97.4</c:v>
                </c:pt>
                <c:pt idx="49">
                  <c:v>171.8</c:v>
                </c:pt>
              </c:numCache>
            </c:numRef>
          </c:val>
          <c:extLst>
            <c:ext xmlns:c16="http://schemas.microsoft.com/office/drawing/2014/chart" uri="{C3380CC4-5D6E-409C-BE32-E72D297353CC}">
              <c16:uniqueId val="{00000008-A322-42A6-9382-57A1D9E8FBBB}"/>
            </c:ext>
          </c:extLst>
        </c:ser>
        <c:ser>
          <c:idx val="2"/>
          <c:order val="2"/>
          <c:tx>
            <c:strRef>
              <c:f>'Pivot tables'!$D$23:$D$24</c:f>
              <c:strCache>
                <c:ptCount val="1"/>
                <c:pt idx="0">
                  <c:v>Food</c:v>
                </c:pt>
              </c:strCache>
            </c:strRef>
          </c:tx>
          <c:spPr>
            <a:solidFill>
              <a:schemeClr val="accent3"/>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tables'!$D$25:$D$75</c:f>
              <c:numCache>
                <c:formatCode>General</c:formatCode>
                <c:ptCount val="50"/>
                <c:pt idx="0">
                  <c:v>52.55</c:v>
                </c:pt>
                <c:pt idx="2">
                  <c:v>171.00000000000003</c:v>
                </c:pt>
                <c:pt idx="3">
                  <c:v>136.69999999999999</c:v>
                </c:pt>
                <c:pt idx="5">
                  <c:v>83.45</c:v>
                </c:pt>
                <c:pt idx="6">
                  <c:v>130.44999999999999</c:v>
                </c:pt>
                <c:pt idx="7">
                  <c:v>68.650000000000006</c:v>
                </c:pt>
                <c:pt idx="8">
                  <c:v>56.099999999999994</c:v>
                </c:pt>
                <c:pt idx="10">
                  <c:v>202.75</c:v>
                </c:pt>
                <c:pt idx="11">
                  <c:v>162.5</c:v>
                </c:pt>
                <c:pt idx="12">
                  <c:v>45.95</c:v>
                </c:pt>
                <c:pt idx="13">
                  <c:v>42.75</c:v>
                </c:pt>
                <c:pt idx="14">
                  <c:v>70.349999999999994</c:v>
                </c:pt>
                <c:pt idx="15">
                  <c:v>100.75</c:v>
                </c:pt>
                <c:pt idx="17">
                  <c:v>46.65</c:v>
                </c:pt>
                <c:pt idx="18">
                  <c:v>70.45</c:v>
                </c:pt>
                <c:pt idx="19">
                  <c:v>160.6</c:v>
                </c:pt>
                <c:pt idx="20">
                  <c:v>64.150000000000006</c:v>
                </c:pt>
                <c:pt idx="21">
                  <c:v>142.35</c:v>
                </c:pt>
                <c:pt idx="22">
                  <c:v>77.650000000000006</c:v>
                </c:pt>
                <c:pt idx="23">
                  <c:v>155.25</c:v>
                </c:pt>
                <c:pt idx="24">
                  <c:v>99.3</c:v>
                </c:pt>
                <c:pt idx="25">
                  <c:v>63.75</c:v>
                </c:pt>
                <c:pt idx="26">
                  <c:v>70</c:v>
                </c:pt>
                <c:pt idx="27">
                  <c:v>142.85</c:v>
                </c:pt>
                <c:pt idx="28">
                  <c:v>118.39999999999999</c:v>
                </c:pt>
                <c:pt idx="29">
                  <c:v>111.55</c:v>
                </c:pt>
                <c:pt idx="31">
                  <c:v>97</c:v>
                </c:pt>
                <c:pt idx="32">
                  <c:v>67.349999999999994</c:v>
                </c:pt>
                <c:pt idx="33">
                  <c:v>55.3</c:v>
                </c:pt>
                <c:pt idx="34">
                  <c:v>259.8</c:v>
                </c:pt>
                <c:pt idx="36">
                  <c:v>99.05</c:v>
                </c:pt>
                <c:pt idx="37">
                  <c:v>16.850000000000001</c:v>
                </c:pt>
                <c:pt idx="38">
                  <c:v>208.45</c:v>
                </c:pt>
                <c:pt idx="39">
                  <c:v>58.6</c:v>
                </c:pt>
                <c:pt idx="40">
                  <c:v>120.75</c:v>
                </c:pt>
                <c:pt idx="41">
                  <c:v>269.7</c:v>
                </c:pt>
                <c:pt idx="43">
                  <c:v>112.45</c:v>
                </c:pt>
                <c:pt idx="44">
                  <c:v>68.599999999999994</c:v>
                </c:pt>
                <c:pt idx="45">
                  <c:v>30.5</c:v>
                </c:pt>
                <c:pt idx="46">
                  <c:v>52.85</c:v>
                </c:pt>
                <c:pt idx="48">
                  <c:v>212</c:v>
                </c:pt>
              </c:numCache>
            </c:numRef>
          </c:val>
          <c:extLst>
            <c:ext xmlns:c16="http://schemas.microsoft.com/office/drawing/2014/chart" uri="{C3380CC4-5D6E-409C-BE32-E72D297353CC}">
              <c16:uniqueId val="{00000009-A322-42A6-9382-57A1D9E8FBBB}"/>
            </c:ext>
          </c:extLst>
        </c:ser>
        <c:ser>
          <c:idx val="3"/>
          <c:order val="3"/>
          <c:tx>
            <c:strRef>
              <c:f>'Pivot tables'!$E$23:$E$24</c:f>
              <c:strCache>
                <c:ptCount val="1"/>
                <c:pt idx="0">
                  <c:v>Sports</c:v>
                </c:pt>
              </c:strCache>
            </c:strRef>
          </c:tx>
          <c:spPr>
            <a:solidFill>
              <a:schemeClr val="accent4"/>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tables'!$E$25:$E$75</c:f>
              <c:numCache>
                <c:formatCode>General</c:formatCode>
                <c:ptCount val="50"/>
                <c:pt idx="0">
                  <c:v>230.5</c:v>
                </c:pt>
                <c:pt idx="1">
                  <c:v>170</c:v>
                </c:pt>
                <c:pt idx="2">
                  <c:v>82.15</c:v>
                </c:pt>
                <c:pt idx="3">
                  <c:v>34.299999999999997</c:v>
                </c:pt>
                <c:pt idx="4">
                  <c:v>23.15</c:v>
                </c:pt>
                <c:pt idx="5">
                  <c:v>32.299999999999997</c:v>
                </c:pt>
                <c:pt idx="6">
                  <c:v>134.35</c:v>
                </c:pt>
                <c:pt idx="7">
                  <c:v>74.7</c:v>
                </c:pt>
                <c:pt idx="8">
                  <c:v>71.5</c:v>
                </c:pt>
                <c:pt idx="10">
                  <c:v>39.299999999999997</c:v>
                </c:pt>
                <c:pt idx="11">
                  <c:v>114</c:v>
                </c:pt>
                <c:pt idx="13">
                  <c:v>107.5</c:v>
                </c:pt>
                <c:pt idx="14">
                  <c:v>125.65</c:v>
                </c:pt>
                <c:pt idx="15">
                  <c:v>84.2</c:v>
                </c:pt>
                <c:pt idx="17">
                  <c:v>72.650000000000006</c:v>
                </c:pt>
                <c:pt idx="18">
                  <c:v>73.099999999999994</c:v>
                </c:pt>
                <c:pt idx="19">
                  <c:v>48.9</c:v>
                </c:pt>
                <c:pt idx="21">
                  <c:v>18.600000000000001</c:v>
                </c:pt>
                <c:pt idx="22">
                  <c:v>24.4</c:v>
                </c:pt>
                <c:pt idx="23">
                  <c:v>177.20000000000002</c:v>
                </c:pt>
                <c:pt idx="24">
                  <c:v>77.75</c:v>
                </c:pt>
                <c:pt idx="25">
                  <c:v>157.35</c:v>
                </c:pt>
                <c:pt idx="26">
                  <c:v>55.5</c:v>
                </c:pt>
                <c:pt idx="27">
                  <c:v>108.4</c:v>
                </c:pt>
                <c:pt idx="28">
                  <c:v>161.6</c:v>
                </c:pt>
                <c:pt idx="30">
                  <c:v>39.200000000000003</c:v>
                </c:pt>
                <c:pt idx="31">
                  <c:v>164.35</c:v>
                </c:pt>
                <c:pt idx="32">
                  <c:v>113.5</c:v>
                </c:pt>
                <c:pt idx="33">
                  <c:v>99.75</c:v>
                </c:pt>
                <c:pt idx="34">
                  <c:v>108.2</c:v>
                </c:pt>
                <c:pt idx="35">
                  <c:v>152.44999999999999</c:v>
                </c:pt>
                <c:pt idx="36">
                  <c:v>199.14999999999998</c:v>
                </c:pt>
                <c:pt idx="38">
                  <c:v>122.3</c:v>
                </c:pt>
                <c:pt idx="39">
                  <c:v>57.3</c:v>
                </c:pt>
                <c:pt idx="40">
                  <c:v>40</c:v>
                </c:pt>
                <c:pt idx="41">
                  <c:v>174.6</c:v>
                </c:pt>
                <c:pt idx="42">
                  <c:v>49</c:v>
                </c:pt>
                <c:pt idx="43">
                  <c:v>26.35</c:v>
                </c:pt>
                <c:pt idx="44">
                  <c:v>119</c:v>
                </c:pt>
                <c:pt idx="45">
                  <c:v>52.45</c:v>
                </c:pt>
                <c:pt idx="46">
                  <c:v>37.299999999999997</c:v>
                </c:pt>
                <c:pt idx="47">
                  <c:v>98.6</c:v>
                </c:pt>
                <c:pt idx="48">
                  <c:v>63.35</c:v>
                </c:pt>
              </c:numCache>
            </c:numRef>
          </c:val>
          <c:extLst>
            <c:ext xmlns:c16="http://schemas.microsoft.com/office/drawing/2014/chart" uri="{C3380CC4-5D6E-409C-BE32-E72D297353CC}">
              <c16:uniqueId val="{0000000A-A322-42A6-9382-57A1D9E8FBBB}"/>
            </c:ext>
          </c:extLst>
        </c:ser>
        <c:ser>
          <c:idx val="4"/>
          <c:order val="4"/>
          <c:tx>
            <c:strRef>
              <c:f>'Pivot tables'!$F$23:$F$24</c:f>
              <c:strCache>
                <c:ptCount val="1"/>
                <c:pt idx="0">
                  <c:v>Tech</c:v>
                </c:pt>
              </c:strCache>
            </c:strRef>
          </c:tx>
          <c:spPr>
            <a:solidFill>
              <a:schemeClr val="accent5"/>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tables'!$F$25:$F$75</c:f>
              <c:numCache>
                <c:formatCode>General</c:formatCode>
                <c:ptCount val="50"/>
                <c:pt idx="0">
                  <c:v>60.599999999999994</c:v>
                </c:pt>
                <c:pt idx="1">
                  <c:v>96</c:v>
                </c:pt>
                <c:pt idx="2">
                  <c:v>167.8</c:v>
                </c:pt>
                <c:pt idx="4">
                  <c:v>56.2</c:v>
                </c:pt>
                <c:pt idx="5">
                  <c:v>125.5</c:v>
                </c:pt>
                <c:pt idx="6">
                  <c:v>57.35</c:v>
                </c:pt>
                <c:pt idx="7">
                  <c:v>23.5</c:v>
                </c:pt>
                <c:pt idx="8">
                  <c:v>65.849999999999994</c:v>
                </c:pt>
                <c:pt idx="12">
                  <c:v>60.15</c:v>
                </c:pt>
                <c:pt idx="14">
                  <c:v>29.9</c:v>
                </c:pt>
                <c:pt idx="15">
                  <c:v>39.15</c:v>
                </c:pt>
                <c:pt idx="16">
                  <c:v>310.64999999999998</c:v>
                </c:pt>
                <c:pt idx="18">
                  <c:v>37.049999999999997</c:v>
                </c:pt>
                <c:pt idx="19">
                  <c:v>59</c:v>
                </c:pt>
                <c:pt idx="21">
                  <c:v>146.94999999999999</c:v>
                </c:pt>
                <c:pt idx="22">
                  <c:v>49.75</c:v>
                </c:pt>
                <c:pt idx="23">
                  <c:v>153</c:v>
                </c:pt>
                <c:pt idx="24">
                  <c:v>29.4</c:v>
                </c:pt>
                <c:pt idx="25">
                  <c:v>194.75</c:v>
                </c:pt>
                <c:pt idx="27">
                  <c:v>193.85</c:v>
                </c:pt>
                <c:pt idx="29">
                  <c:v>67.8</c:v>
                </c:pt>
                <c:pt idx="31">
                  <c:v>120.35</c:v>
                </c:pt>
                <c:pt idx="32">
                  <c:v>147.9</c:v>
                </c:pt>
                <c:pt idx="33">
                  <c:v>69.349999999999994</c:v>
                </c:pt>
                <c:pt idx="34">
                  <c:v>143.85000000000002</c:v>
                </c:pt>
                <c:pt idx="35">
                  <c:v>64.2</c:v>
                </c:pt>
                <c:pt idx="36">
                  <c:v>181.75</c:v>
                </c:pt>
                <c:pt idx="38">
                  <c:v>84.75</c:v>
                </c:pt>
                <c:pt idx="39">
                  <c:v>120.9</c:v>
                </c:pt>
                <c:pt idx="41">
                  <c:v>67.95</c:v>
                </c:pt>
                <c:pt idx="43">
                  <c:v>103.05000000000001</c:v>
                </c:pt>
                <c:pt idx="44">
                  <c:v>62.55</c:v>
                </c:pt>
                <c:pt idx="45">
                  <c:v>76.099999999999994</c:v>
                </c:pt>
                <c:pt idx="46">
                  <c:v>126.8</c:v>
                </c:pt>
                <c:pt idx="47">
                  <c:v>65.45</c:v>
                </c:pt>
                <c:pt idx="48">
                  <c:v>64.849999999999994</c:v>
                </c:pt>
                <c:pt idx="49">
                  <c:v>44.2</c:v>
                </c:pt>
              </c:numCache>
            </c:numRef>
          </c:val>
          <c:extLst>
            <c:ext xmlns:c16="http://schemas.microsoft.com/office/drawing/2014/chart" uri="{C3380CC4-5D6E-409C-BE32-E72D297353CC}">
              <c16:uniqueId val="{0000000B-A322-42A6-9382-57A1D9E8FBBB}"/>
            </c:ext>
          </c:extLst>
        </c:ser>
        <c:ser>
          <c:idx val="5"/>
          <c:order val="5"/>
          <c:tx>
            <c:strRef>
              <c:f>'Pivot tables'!$G$23:$G$24</c:f>
              <c:strCache>
                <c:ptCount val="1"/>
                <c:pt idx="0">
                  <c:v>Travel</c:v>
                </c:pt>
              </c:strCache>
            </c:strRef>
          </c:tx>
          <c:spPr>
            <a:solidFill>
              <a:schemeClr val="accent6"/>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tables'!$G$25:$G$75</c:f>
              <c:numCache>
                <c:formatCode>General</c:formatCode>
                <c:ptCount val="50"/>
                <c:pt idx="0">
                  <c:v>107.35</c:v>
                </c:pt>
                <c:pt idx="1">
                  <c:v>117.25</c:v>
                </c:pt>
                <c:pt idx="2">
                  <c:v>77.650000000000006</c:v>
                </c:pt>
                <c:pt idx="4">
                  <c:v>49.4</c:v>
                </c:pt>
                <c:pt idx="5">
                  <c:v>89.25</c:v>
                </c:pt>
                <c:pt idx="6">
                  <c:v>29.2</c:v>
                </c:pt>
                <c:pt idx="7">
                  <c:v>152.44999999999999</c:v>
                </c:pt>
                <c:pt idx="8">
                  <c:v>108.4</c:v>
                </c:pt>
                <c:pt idx="9">
                  <c:v>35.75</c:v>
                </c:pt>
                <c:pt idx="10">
                  <c:v>58.2</c:v>
                </c:pt>
                <c:pt idx="11">
                  <c:v>136.1</c:v>
                </c:pt>
                <c:pt idx="12">
                  <c:v>76.2</c:v>
                </c:pt>
                <c:pt idx="13">
                  <c:v>110</c:v>
                </c:pt>
                <c:pt idx="16">
                  <c:v>94.399999999999991</c:v>
                </c:pt>
                <c:pt idx="18">
                  <c:v>38</c:v>
                </c:pt>
                <c:pt idx="20">
                  <c:v>120</c:v>
                </c:pt>
                <c:pt idx="21">
                  <c:v>19.55</c:v>
                </c:pt>
                <c:pt idx="22">
                  <c:v>36.049999999999997</c:v>
                </c:pt>
                <c:pt idx="24">
                  <c:v>32.049999999999997</c:v>
                </c:pt>
                <c:pt idx="25">
                  <c:v>61.6</c:v>
                </c:pt>
                <c:pt idx="26">
                  <c:v>131.94999999999999</c:v>
                </c:pt>
                <c:pt idx="27">
                  <c:v>35.950000000000003</c:v>
                </c:pt>
                <c:pt idx="28">
                  <c:v>172.3</c:v>
                </c:pt>
                <c:pt idx="29">
                  <c:v>110.30000000000001</c:v>
                </c:pt>
                <c:pt idx="30">
                  <c:v>27.1</c:v>
                </c:pt>
                <c:pt idx="31">
                  <c:v>126.1</c:v>
                </c:pt>
                <c:pt idx="32">
                  <c:v>368.15</c:v>
                </c:pt>
                <c:pt idx="33">
                  <c:v>149.05000000000001</c:v>
                </c:pt>
                <c:pt idx="34">
                  <c:v>146.4</c:v>
                </c:pt>
                <c:pt idx="35">
                  <c:v>81.8</c:v>
                </c:pt>
                <c:pt idx="36">
                  <c:v>113.75</c:v>
                </c:pt>
                <c:pt idx="37">
                  <c:v>77.8</c:v>
                </c:pt>
                <c:pt idx="38">
                  <c:v>129.15</c:v>
                </c:pt>
                <c:pt idx="39">
                  <c:v>43.55</c:v>
                </c:pt>
                <c:pt idx="40">
                  <c:v>36.549999999999997</c:v>
                </c:pt>
                <c:pt idx="42">
                  <c:v>46.1</c:v>
                </c:pt>
                <c:pt idx="43">
                  <c:v>60.5</c:v>
                </c:pt>
                <c:pt idx="44">
                  <c:v>147.20000000000002</c:v>
                </c:pt>
                <c:pt idx="45">
                  <c:v>33.9</c:v>
                </c:pt>
                <c:pt idx="46">
                  <c:v>66.400000000000006</c:v>
                </c:pt>
                <c:pt idx="47">
                  <c:v>85.4</c:v>
                </c:pt>
                <c:pt idx="48">
                  <c:v>67.849999999999994</c:v>
                </c:pt>
                <c:pt idx="49">
                  <c:v>98.800000000000011</c:v>
                </c:pt>
              </c:numCache>
            </c:numRef>
          </c:val>
          <c:extLst>
            <c:ext xmlns:c16="http://schemas.microsoft.com/office/drawing/2014/chart" uri="{C3380CC4-5D6E-409C-BE32-E72D297353CC}">
              <c16:uniqueId val="{0000000C-A322-42A6-9382-57A1D9E8FBBB}"/>
            </c:ext>
          </c:extLst>
        </c:ser>
        <c:dLbls>
          <c:showLegendKey val="0"/>
          <c:showVal val="0"/>
          <c:showCatName val="0"/>
          <c:showSerName val="0"/>
          <c:showPercent val="0"/>
          <c:showBubbleSize val="0"/>
        </c:dLbls>
        <c:gapWidth val="219"/>
        <c:overlap val="-27"/>
        <c:axId val="202345584"/>
        <c:axId val="202346064"/>
      </c:barChart>
      <c:catAx>
        <c:axId val="202345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6064"/>
        <c:crosses val="autoZero"/>
        <c:auto val="1"/>
        <c:lblAlgn val="ctr"/>
        <c:lblOffset val="100"/>
        <c:noMultiLvlLbl val="0"/>
      </c:catAx>
      <c:valAx>
        <c:axId val="20234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Watch</a:t>
            </a:r>
            <a:r>
              <a:rPr lang="en-IN" baseline="0"/>
              <a:t> time Vs Engagement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User_data!$F$2</c:f>
              <c:strCache>
                <c:ptCount val="1"/>
                <c:pt idx="0">
                  <c:v>Watch_Time(sec)</c:v>
                </c:pt>
              </c:strCache>
            </c:strRef>
          </c:tx>
          <c:spPr>
            <a:ln w="38100" cap="rnd">
              <a:noFill/>
              <a:round/>
            </a:ln>
            <a:effectLst/>
          </c:spPr>
          <c:marker>
            <c:symbol val="circle"/>
            <c:size val="5"/>
            <c:spPr>
              <a:solidFill>
                <a:schemeClr val="accent3"/>
              </a:solidFill>
              <a:ln w="9525">
                <a:solidFill>
                  <a:schemeClr val="accent3"/>
                </a:solidFill>
              </a:ln>
              <a:effectLst/>
            </c:spPr>
          </c:marker>
          <c:xVal>
            <c:multiLvlStrRef>
              <c:f>User_data!$A$3:$C$502</c:f>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f>User_data!$F$3:$F$502</c:f>
              <c:numCache>
                <c:formatCode>General</c:formatCode>
                <c:ptCount val="500"/>
                <c:pt idx="0">
                  <c:v>42</c:v>
                </c:pt>
                <c:pt idx="1">
                  <c:v>117</c:v>
                </c:pt>
                <c:pt idx="2">
                  <c:v>118</c:v>
                </c:pt>
                <c:pt idx="3">
                  <c:v>68</c:v>
                </c:pt>
                <c:pt idx="4">
                  <c:v>46</c:v>
                </c:pt>
                <c:pt idx="5">
                  <c:v>63</c:v>
                </c:pt>
                <c:pt idx="6">
                  <c:v>14</c:v>
                </c:pt>
                <c:pt idx="7">
                  <c:v>71</c:v>
                </c:pt>
                <c:pt idx="8">
                  <c:v>99</c:v>
                </c:pt>
                <c:pt idx="9">
                  <c:v>59</c:v>
                </c:pt>
                <c:pt idx="10">
                  <c:v>45</c:v>
                </c:pt>
                <c:pt idx="11">
                  <c:v>108</c:v>
                </c:pt>
                <c:pt idx="12">
                  <c:v>33</c:v>
                </c:pt>
                <c:pt idx="13">
                  <c:v>114</c:v>
                </c:pt>
                <c:pt idx="14">
                  <c:v>108</c:v>
                </c:pt>
                <c:pt idx="15">
                  <c:v>88</c:v>
                </c:pt>
                <c:pt idx="16">
                  <c:v>49</c:v>
                </c:pt>
                <c:pt idx="17">
                  <c:v>0</c:v>
                </c:pt>
                <c:pt idx="18">
                  <c:v>68</c:v>
                </c:pt>
                <c:pt idx="19">
                  <c:v>104</c:v>
                </c:pt>
                <c:pt idx="20">
                  <c:v>62</c:v>
                </c:pt>
                <c:pt idx="21">
                  <c:v>98</c:v>
                </c:pt>
                <c:pt idx="22">
                  <c:v>113</c:v>
                </c:pt>
                <c:pt idx="23">
                  <c:v>21</c:v>
                </c:pt>
                <c:pt idx="24">
                  <c:v>85</c:v>
                </c:pt>
                <c:pt idx="25">
                  <c:v>54</c:v>
                </c:pt>
                <c:pt idx="26">
                  <c:v>65</c:v>
                </c:pt>
                <c:pt idx="27">
                  <c:v>99</c:v>
                </c:pt>
                <c:pt idx="28">
                  <c:v>58</c:v>
                </c:pt>
                <c:pt idx="29">
                  <c:v>118</c:v>
                </c:pt>
                <c:pt idx="30">
                  <c:v>18</c:v>
                </c:pt>
                <c:pt idx="31">
                  <c:v>12</c:v>
                </c:pt>
                <c:pt idx="32">
                  <c:v>74</c:v>
                </c:pt>
                <c:pt idx="33">
                  <c:v>65</c:v>
                </c:pt>
                <c:pt idx="34">
                  <c:v>74</c:v>
                </c:pt>
                <c:pt idx="35">
                  <c:v>35</c:v>
                </c:pt>
                <c:pt idx="36">
                  <c:v>53</c:v>
                </c:pt>
                <c:pt idx="37">
                  <c:v>35</c:v>
                </c:pt>
                <c:pt idx="38">
                  <c:v>77</c:v>
                </c:pt>
                <c:pt idx="39">
                  <c:v>16</c:v>
                </c:pt>
                <c:pt idx="40">
                  <c:v>65</c:v>
                </c:pt>
                <c:pt idx="41">
                  <c:v>56</c:v>
                </c:pt>
                <c:pt idx="42">
                  <c:v>12</c:v>
                </c:pt>
                <c:pt idx="43">
                  <c:v>106</c:v>
                </c:pt>
                <c:pt idx="44">
                  <c:v>17</c:v>
                </c:pt>
                <c:pt idx="45">
                  <c:v>31</c:v>
                </c:pt>
                <c:pt idx="46">
                  <c:v>48</c:v>
                </c:pt>
                <c:pt idx="47">
                  <c:v>32</c:v>
                </c:pt>
                <c:pt idx="48">
                  <c:v>104</c:v>
                </c:pt>
                <c:pt idx="49">
                  <c:v>73</c:v>
                </c:pt>
                <c:pt idx="50">
                  <c:v>105</c:v>
                </c:pt>
                <c:pt idx="51">
                  <c:v>91</c:v>
                </c:pt>
                <c:pt idx="52">
                  <c:v>103</c:v>
                </c:pt>
                <c:pt idx="53">
                  <c:v>12</c:v>
                </c:pt>
                <c:pt idx="54">
                  <c:v>4</c:v>
                </c:pt>
                <c:pt idx="55">
                  <c:v>120</c:v>
                </c:pt>
                <c:pt idx="56">
                  <c:v>7</c:v>
                </c:pt>
                <c:pt idx="57">
                  <c:v>42</c:v>
                </c:pt>
                <c:pt idx="58">
                  <c:v>88</c:v>
                </c:pt>
                <c:pt idx="59">
                  <c:v>67</c:v>
                </c:pt>
                <c:pt idx="60">
                  <c:v>69</c:v>
                </c:pt>
                <c:pt idx="61">
                  <c:v>6</c:v>
                </c:pt>
                <c:pt idx="62">
                  <c:v>118</c:v>
                </c:pt>
                <c:pt idx="63">
                  <c:v>10</c:v>
                </c:pt>
                <c:pt idx="64">
                  <c:v>93</c:v>
                </c:pt>
                <c:pt idx="65">
                  <c:v>59</c:v>
                </c:pt>
                <c:pt idx="66">
                  <c:v>0</c:v>
                </c:pt>
                <c:pt idx="67">
                  <c:v>27</c:v>
                </c:pt>
                <c:pt idx="68">
                  <c:v>44</c:v>
                </c:pt>
                <c:pt idx="69">
                  <c:v>70</c:v>
                </c:pt>
                <c:pt idx="70">
                  <c:v>34</c:v>
                </c:pt>
                <c:pt idx="71">
                  <c:v>35</c:v>
                </c:pt>
                <c:pt idx="72">
                  <c:v>67</c:v>
                </c:pt>
                <c:pt idx="73">
                  <c:v>59</c:v>
                </c:pt>
                <c:pt idx="74">
                  <c:v>13</c:v>
                </c:pt>
                <c:pt idx="75">
                  <c:v>30</c:v>
                </c:pt>
                <c:pt idx="76">
                  <c:v>27</c:v>
                </c:pt>
                <c:pt idx="77">
                  <c:v>46</c:v>
                </c:pt>
                <c:pt idx="78">
                  <c:v>78</c:v>
                </c:pt>
                <c:pt idx="79">
                  <c:v>73</c:v>
                </c:pt>
                <c:pt idx="80">
                  <c:v>11</c:v>
                </c:pt>
                <c:pt idx="81">
                  <c:v>24</c:v>
                </c:pt>
                <c:pt idx="82">
                  <c:v>116</c:v>
                </c:pt>
                <c:pt idx="83">
                  <c:v>59</c:v>
                </c:pt>
                <c:pt idx="84">
                  <c:v>36</c:v>
                </c:pt>
                <c:pt idx="85">
                  <c:v>41</c:v>
                </c:pt>
                <c:pt idx="86">
                  <c:v>68</c:v>
                </c:pt>
                <c:pt idx="87">
                  <c:v>56</c:v>
                </c:pt>
                <c:pt idx="88">
                  <c:v>110</c:v>
                </c:pt>
                <c:pt idx="89">
                  <c:v>105</c:v>
                </c:pt>
                <c:pt idx="90">
                  <c:v>113</c:v>
                </c:pt>
                <c:pt idx="91">
                  <c:v>18</c:v>
                </c:pt>
                <c:pt idx="92">
                  <c:v>8</c:v>
                </c:pt>
                <c:pt idx="93">
                  <c:v>14</c:v>
                </c:pt>
                <c:pt idx="94">
                  <c:v>102</c:v>
                </c:pt>
                <c:pt idx="95">
                  <c:v>75</c:v>
                </c:pt>
                <c:pt idx="96">
                  <c:v>95</c:v>
                </c:pt>
                <c:pt idx="97">
                  <c:v>104</c:v>
                </c:pt>
                <c:pt idx="98">
                  <c:v>106</c:v>
                </c:pt>
                <c:pt idx="99">
                  <c:v>95</c:v>
                </c:pt>
                <c:pt idx="100">
                  <c:v>72</c:v>
                </c:pt>
                <c:pt idx="101">
                  <c:v>101</c:v>
                </c:pt>
                <c:pt idx="102">
                  <c:v>20</c:v>
                </c:pt>
                <c:pt idx="103">
                  <c:v>25</c:v>
                </c:pt>
                <c:pt idx="104">
                  <c:v>117</c:v>
                </c:pt>
                <c:pt idx="105">
                  <c:v>5</c:v>
                </c:pt>
                <c:pt idx="106">
                  <c:v>67</c:v>
                </c:pt>
                <c:pt idx="107">
                  <c:v>77</c:v>
                </c:pt>
                <c:pt idx="108">
                  <c:v>20</c:v>
                </c:pt>
                <c:pt idx="109">
                  <c:v>17</c:v>
                </c:pt>
                <c:pt idx="110">
                  <c:v>23</c:v>
                </c:pt>
                <c:pt idx="111">
                  <c:v>2</c:v>
                </c:pt>
                <c:pt idx="112">
                  <c:v>43</c:v>
                </c:pt>
                <c:pt idx="113">
                  <c:v>42</c:v>
                </c:pt>
                <c:pt idx="114">
                  <c:v>83</c:v>
                </c:pt>
                <c:pt idx="115">
                  <c:v>64</c:v>
                </c:pt>
                <c:pt idx="116">
                  <c:v>36</c:v>
                </c:pt>
                <c:pt idx="117">
                  <c:v>63</c:v>
                </c:pt>
                <c:pt idx="118">
                  <c:v>118</c:v>
                </c:pt>
                <c:pt idx="119">
                  <c:v>88</c:v>
                </c:pt>
                <c:pt idx="120">
                  <c:v>35</c:v>
                </c:pt>
                <c:pt idx="121">
                  <c:v>10</c:v>
                </c:pt>
                <c:pt idx="122">
                  <c:v>116</c:v>
                </c:pt>
                <c:pt idx="123">
                  <c:v>50</c:v>
                </c:pt>
                <c:pt idx="124">
                  <c:v>79</c:v>
                </c:pt>
                <c:pt idx="125">
                  <c:v>88</c:v>
                </c:pt>
                <c:pt idx="126">
                  <c:v>102</c:v>
                </c:pt>
                <c:pt idx="127">
                  <c:v>107</c:v>
                </c:pt>
                <c:pt idx="128">
                  <c:v>98</c:v>
                </c:pt>
                <c:pt idx="129">
                  <c:v>46</c:v>
                </c:pt>
                <c:pt idx="130">
                  <c:v>19</c:v>
                </c:pt>
                <c:pt idx="131">
                  <c:v>19</c:v>
                </c:pt>
                <c:pt idx="132">
                  <c:v>52</c:v>
                </c:pt>
                <c:pt idx="133">
                  <c:v>49</c:v>
                </c:pt>
                <c:pt idx="134">
                  <c:v>103</c:v>
                </c:pt>
                <c:pt idx="135">
                  <c:v>35</c:v>
                </c:pt>
                <c:pt idx="136">
                  <c:v>20</c:v>
                </c:pt>
                <c:pt idx="137">
                  <c:v>96</c:v>
                </c:pt>
                <c:pt idx="138">
                  <c:v>13</c:v>
                </c:pt>
                <c:pt idx="139">
                  <c:v>3</c:v>
                </c:pt>
                <c:pt idx="140">
                  <c:v>97</c:v>
                </c:pt>
                <c:pt idx="141">
                  <c:v>43</c:v>
                </c:pt>
                <c:pt idx="142">
                  <c:v>47</c:v>
                </c:pt>
                <c:pt idx="143">
                  <c:v>42</c:v>
                </c:pt>
                <c:pt idx="144">
                  <c:v>73</c:v>
                </c:pt>
                <c:pt idx="145">
                  <c:v>1</c:v>
                </c:pt>
                <c:pt idx="146">
                  <c:v>109</c:v>
                </c:pt>
                <c:pt idx="147">
                  <c:v>7</c:v>
                </c:pt>
                <c:pt idx="148">
                  <c:v>26</c:v>
                </c:pt>
                <c:pt idx="149">
                  <c:v>83</c:v>
                </c:pt>
                <c:pt idx="150">
                  <c:v>36</c:v>
                </c:pt>
                <c:pt idx="151">
                  <c:v>52</c:v>
                </c:pt>
                <c:pt idx="152">
                  <c:v>116</c:v>
                </c:pt>
                <c:pt idx="153">
                  <c:v>50</c:v>
                </c:pt>
                <c:pt idx="154">
                  <c:v>76</c:v>
                </c:pt>
                <c:pt idx="155">
                  <c:v>8</c:v>
                </c:pt>
                <c:pt idx="156">
                  <c:v>66</c:v>
                </c:pt>
                <c:pt idx="157">
                  <c:v>13</c:v>
                </c:pt>
                <c:pt idx="158">
                  <c:v>100</c:v>
                </c:pt>
                <c:pt idx="159">
                  <c:v>73</c:v>
                </c:pt>
                <c:pt idx="160">
                  <c:v>75</c:v>
                </c:pt>
                <c:pt idx="161">
                  <c:v>86</c:v>
                </c:pt>
                <c:pt idx="162">
                  <c:v>45</c:v>
                </c:pt>
                <c:pt idx="163">
                  <c:v>83</c:v>
                </c:pt>
                <c:pt idx="164">
                  <c:v>48</c:v>
                </c:pt>
                <c:pt idx="165">
                  <c:v>69</c:v>
                </c:pt>
                <c:pt idx="166">
                  <c:v>82</c:v>
                </c:pt>
                <c:pt idx="167">
                  <c:v>0</c:v>
                </c:pt>
                <c:pt idx="168">
                  <c:v>25</c:v>
                </c:pt>
                <c:pt idx="169">
                  <c:v>29</c:v>
                </c:pt>
                <c:pt idx="170">
                  <c:v>17</c:v>
                </c:pt>
                <c:pt idx="171">
                  <c:v>41</c:v>
                </c:pt>
                <c:pt idx="172">
                  <c:v>40</c:v>
                </c:pt>
                <c:pt idx="173">
                  <c:v>7</c:v>
                </c:pt>
                <c:pt idx="174">
                  <c:v>104</c:v>
                </c:pt>
                <c:pt idx="175">
                  <c:v>87</c:v>
                </c:pt>
                <c:pt idx="176">
                  <c:v>69</c:v>
                </c:pt>
                <c:pt idx="177">
                  <c:v>36</c:v>
                </c:pt>
                <c:pt idx="178">
                  <c:v>14</c:v>
                </c:pt>
                <c:pt idx="179">
                  <c:v>18</c:v>
                </c:pt>
                <c:pt idx="180">
                  <c:v>23</c:v>
                </c:pt>
                <c:pt idx="181">
                  <c:v>114</c:v>
                </c:pt>
                <c:pt idx="182">
                  <c:v>86</c:v>
                </c:pt>
                <c:pt idx="183">
                  <c:v>117</c:v>
                </c:pt>
                <c:pt idx="184">
                  <c:v>46</c:v>
                </c:pt>
                <c:pt idx="185">
                  <c:v>28</c:v>
                </c:pt>
                <c:pt idx="186">
                  <c:v>41</c:v>
                </c:pt>
                <c:pt idx="187">
                  <c:v>78</c:v>
                </c:pt>
                <c:pt idx="188">
                  <c:v>11</c:v>
                </c:pt>
                <c:pt idx="189">
                  <c:v>25</c:v>
                </c:pt>
                <c:pt idx="190">
                  <c:v>51</c:v>
                </c:pt>
                <c:pt idx="191">
                  <c:v>97</c:v>
                </c:pt>
                <c:pt idx="192">
                  <c:v>12</c:v>
                </c:pt>
                <c:pt idx="193">
                  <c:v>85</c:v>
                </c:pt>
                <c:pt idx="194">
                  <c:v>12</c:v>
                </c:pt>
                <c:pt idx="195">
                  <c:v>46</c:v>
                </c:pt>
                <c:pt idx="196">
                  <c:v>98</c:v>
                </c:pt>
                <c:pt idx="197">
                  <c:v>107</c:v>
                </c:pt>
                <c:pt idx="198">
                  <c:v>100</c:v>
                </c:pt>
                <c:pt idx="199">
                  <c:v>69</c:v>
                </c:pt>
                <c:pt idx="200">
                  <c:v>50</c:v>
                </c:pt>
                <c:pt idx="201">
                  <c:v>9</c:v>
                </c:pt>
                <c:pt idx="202">
                  <c:v>113</c:v>
                </c:pt>
                <c:pt idx="203">
                  <c:v>55</c:v>
                </c:pt>
                <c:pt idx="204">
                  <c:v>61</c:v>
                </c:pt>
                <c:pt idx="205">
                  <c:v>88</c:v>
                </c:pt>
                <c:pt idx="206">
                  <c:v>41</c:v>
                </c:pt>
                <c:pt idx="207">
                  <c:v>118</c:v>
                </c:pt>
                <c:pt idx="208">
                  <c:v>18</c:v>
                </c:pt>
                <c:pt idx="209">
                  <c:v>68</c:v>
                </c:pt>
                <c:pt idx="210">
                  <c:v>74</c:v>
                </c:pt>
                <c:pt idx="211">
                  <c:v>35</c:v>
                </c:pt>
                <c:pt idx="212">
                  <c:v>99</c:v>
                </c:pt>
                <c:pt idx="213">
                  <c:v>35</c:v>
                </c:pt>
                <c:pt idx="214">
                  <c:v>9</c:v>
                </c:pt>
                <c:pt idx="215">
                  <c:v>63</c:v>
                </c:pt>
                <c:pt idx="216">
                  <c:v>120</c:v>
                </c:pt>
                <c:pt idx="217">
                  <c:v>77</c:v>
                </c:pt>
                <c:pt idx="218">
                  <c:v>46</c:v>
                </c:pt>
                <c:pt idx="219">
                  <c:v>90</c:v>
                </c:pt>
                <c:pt idx="220">
                  <c:v>30</c:v>
                </c:pt>
                <c:pt idx="221">
                  <c:v>27</c:v>
                </c:pt>
                <c:pt idx="222">
                  <c:v>92</c:v>
                </c:pt>
                <c:pt idx="223">
                  <c:v>38</c:v>
                </c:pt>
                <c:pt idx="224">
                  <c:v>119</c:v>
                </c:pt>
                <c:pt idx="225">
                  <c:v>90</c:v>
                </c:pt>
                <c:pt idx="226">
                  <c:v>108</c:v>
                </c:pt>
                <c:pt idx="227">
                  <c:v>1</c:v>
                </c:pt>
                <c:pt idx="228">
                  <c:v>93</c:v>
                </c:pt>
                <c:pt idx="229">
                  <c:v>75</c:v>
                </c:pt>
                <c:pt idx="230">
                  <c:v>4</c:v>
                </c:pt>
                <c:pt idx="231">
                  <c:v>59</c:v>
                </c:pt>
                <c:pt idx="232">
                  <c:v>99</c:v>
                </c:pt>
                <c:pt idx="233">
                  <c:v>42</c:v>
                </c:pt>
                <c:pt idx="234">
                  <c:v>67</c:v>
                </c:pt>
                <c:pt idx="235">
                  <c:v>25</c:v>
                </c:pt>
                <c:pt idx="236">
                  <c:v>48</c:v>
                </c:pt>
                <c:pt idx="237">
                  <c:v>41</c:v>
                </c:pt>
                <c:pt idx="238">
                  <c:v>37</c:v>
                </c:pt>
                <c:pt idx="239">
                  <c:v>4</c:v>
                </c:pt>
                <c:pt idx="240">
                  <c:v>75</c:v>
                </c:pt>
                <c:pt idx="241">
                  <c:v>112</c:v>
                </c:pt>
                <c:pt idx="242">
                  <c:v>113</c:v>
                </c:pt>
                <c:pt idx="243">
                  <c:v>32</c:v>
                </c:pt>
                <c:pt idx="244">
                  <c:v>108</c:v>
                </c:pt>
                <c:pt idx="245">
                  <c:v>101</c:v>
                </c:pt>
                <c:pt idx="246">
                  <c:v>91</c:v>
                </c:pt>
                <c:pt idx="247">
                  <c:v>23</c:v>
                </c:pt>
                <c:pt idx="248">
                  <c:v>38</c:v>
                </c:pt>
                <c:pt idx="249">
                  <c:v>112</c:v>
                </c:pt>
                <c:pt idx="250">
                  <c:v>72</c:v>
                </c:pt>
                <c:pt idx="251">
                  <c:v>31</c:v>
                </c:pt>
                <c:pt idx="252">
                  <c:v>20</c:v>
                </c:pt>
                <c:pt idx="253">
                  <c:v>39</c:v>
                </c:pt>
                <c:pt idx="254">
                  <c:v>28</c:v>
                </c:pt>
                <c:pt idx="255">
                  <c:v>11</c:v>
                </c:pt>
                <c:pt idx="256">
                  <c:v>33</c:v>
                </c:pt>
                <c:pt idx="257">
                  <c:v>29</c:v>
                </c:pt>
                <c:pt idx="258">
                  <c:v>51</c:v>
                </c:pt>
                <c:pt idx="259">
                  <c:v>109</c:v>
                </c:pt>
                <c:pt idx="260">
                  <c:v>117</c:v>
                </c:pt>
                <c:pt idx="261">
                  <c:v>14</c:v>
                </c:pt>
                <c:pt idx="262">
                  <c:v>61</c:v>
                </c:pt>
                <c:pt idx="263">
                  <c:v>55</c:v>
                </c:pt>
                <c:pt idx="264">
                  <c:v>79</c:v>
                </c:pt>
                <c:pt idx="265">
                  <c:v>113</c:v>
                </c:pt>
                <c:pt idx="266">
                  <c:v>84</c:v>
                </c:pt>
                <c:pt idx="267">
                  <c:v>101</c:v>
                </c:pt>
                <c:pt idx="268">
                  <c:v>89</c:v>
                </c:pt>
                <c:pt idx="269">
                  <c:v>18</c:v>
                </c:pt>
                <c:pt idx="270">
                  <c:v>34</c:v>
                </c:pt>
                <c:pt idx="271">
                  <c:v>89</c:v>
                </c:pt>
                <c:pt idx="272">
                  <c:v>73</c:v>
                </c:pt>
                <c:pt idx="273">
                  <c:v>117</c:v>
                </c:pt>
                <c:pt idx="274">
                  <c:v>67</c:v>
                </c:pt>
                <c:pt idx="275">
                  <c:v>91</c:v>
                </c:pt>
                <c:pt idx="276">
                  <c:v>34</c:v>
                </c:pt>
                <c:pt idx="277">
                  <c:v>4</c:v>
                </c:pt>
                <c:pt idx="278">
                  <c:v>43</c:v>
                </c:pt>
                <c:pt idx="279">
                  <c:v>81</c:v>
                </c:pt>
                <c:pt idx="280">
                  <c:v>47</c:v>
                </c:pt>
                <c:pt idx="281">
                  <c:v>93</c:v>
                </c:pt>
                <c:pt idx="282">
                  <c:v>12</c:v>
                </c:pt>
                <c:pt idx="283">
                  <c:v>41</c:v>
                </c:pt>
                <c:pt idx="284">
                  <c:v>96</c:v>
                </c:pt>
                <c:pt idx="285">
                  <c:v>40</c:v>
                </c:pt>
                <c:pt idx="286">
                  <c:v>38</c:v>
                </c:pt>
                <c:pt idx="287">
                  <c:v>38</c:v>
                </c:pt>
                <c:pt idx="288">
                  <c:v>28</c:v>
                </c:pt>
                <c:pt idx="289">
                  <c:v>48</c:v>
                </c:pt>
                <c:pt idx="290">
                  <c:v>33</c:v>
                </c:pt>
                <c:pt idx="291">
                  <c:v>110</c:v>
                </c:pt>
                <c:pt idx="292">
                  <c:v>88</c:v>
                </c:pt>
                <c:pt idx="293">
                  <c:v>77</c:v>
                </c:pt>
                <c:pt idx="294">
                  <c:v>84</c:v>
                </c:pt>
                <c:pt idx="295">
                  <c:v>1</c:v>
                </c:pt>
                <c:pt idx="296">
                  <c:v>44</c:v>
                </c:pt>
                <c:pt idx="297">
                  <c:v>32</c:v>
                </c:pt>
                <c:pt idx="298">
                  <c:v>62</c:v>
                </c:pt>
                <c:pt idx="299">
                  <c:v>6</c:v>
                </c:pt>
                <c:pt idx="300">
                  <c:v>97</c:v>
                </c:pt>
                <c:pt idx="301">
                  <c:v>28</c:v>
                </c:pt>
                <c:pt idx="302">
                  <c:v>22</c:v>
                </c:pt>
                <c:pt idx="303">
                  <c:v>112</c:v>
                </c:pt>
                <c:pt idx="304">
                  <c:v>75</c:v>
                </c:pt>
                <c:pt idx="305">
                  <c:v>65</c:v>
                </c:pt>
                <c:pt idx="306">
                  <c:v>40</c:v>
                </c:pt>
                <c:pt idx="307">
                  <c:v>47</c:v>
                </c:pt>
                <c:pt idx="308">
                  <c:v>53</c:v>
                </c:pt>
                <c:pt idx="309">
                  <c:v>45</c:v>
                </c:pt>
                <c:pt idx="310">
                  <c:v>60</c:v>
                </c:pt>
                <c:pt idx="311">
                  <c:v>105</c:v>
                </c:pt>
                <c:pt idx="312">
                  <c:v>113</c:v>
                </c:pt>
                <c:pt idx="313">
                  <c:v>72</c:v>
                </c:pt>
                <c:pt idx="314">
                  <c:v>89</c:v>
                </c:pt>
                <c:pt idx="315">
                  <c:v>57</c:v>
                </c:pt>
                <c:pt idx="316">
                  <c:v>36</c:v>
                </c:pt>
                <c:pt idx="317">
                  <c:v>60</c:v>
                </c:pt>
                <c:pt idx="318">
                  <c:v>85</c:v>
                </c:pt>
                <c:pt idx="319">
                  <c:v>16</c:v>
                </c:pt>
                <c:pt idx="320">
                  <c:v>113</c:v>
                </c:pt>
                <c:pt idx="321">
                  <c:v>101</c:v>
                </c:pt>
                <c:pt idx="322">
                  <c:v>84</c:v>
                </c:pt>
                <c:pt idx="323">
                  <c:v>116</c:v>
                </c:pt>
                <c:pt idx="324">
                  <c:v>22</c:v>
                </c:pt>
                <c:pt idx="325">
                  <c:v>118</c:v>
                </c:pt>
                <c:pt idx="326">
                  <c:v>14</c:v>
                </c:pt>
                <c:pt idx="327">
                  <c:v>27</c:v>
                </c:pt>
                <c:pt idx="328">
                  <c:v>15</c:v>
                </c:pt>
                <c:pt idx="329">
                  <c:v>112</c:v>
                </c:pt>
                <c:pt idx="330">
                  <c:v>55</c:v>
                </c:pt>
                <c:pt idx="331">
                  <c:v>8</c:v>
                </c:pt>
                <c:pt idx="332">
                  <c:v>47</c:v>
                </c:pt>
                <c:pt idx="333">
                  <c:v>39</c:v>
                </c:pt>
                <c:pt idx="334">
                  <c:v>107</c:v>
                </c:pt>
                <c:pt idx="335">
                  <c:v>74</c:v>
                </c:pt>
                <c:pt idx="336">
                  <c:v>26</c:v>
                </c:pt>
                <c:pt idx="337">
                  <c:v>96</c:v>
                </c:pt>
                <c:pt idx="338">
                  <c:v>67</c:v>
                </c:pt>
                <c:pt idx="339">
                  <c:v>102</c:v>
                </c:pt>
                <c:pt idx="340">
                  <c:v>100</c:v>
                </c:pt>
                <c:pt idx="341">
                  <c:v>75</c:v>
                </c:pt>
                <c:pt idx="342">
                  <c:v>72</c:v>
                </c:pt>
                <c:pt idx="343">
                  <c:v>0</c:v>
                </c:pt>
                <c:pt idx="344">
                  <c:v>34</c:v>
                </c:pt>
                <c:pt idx="345">
                  <c:v>112</c:v>
                </c:pt>
                <c:pt idx="346">
                  <c:v>84</c:v>
                </c:pt>
                <c:pt idx="347">
                  <c:v>78</c:v>
                </c:pt>
                <c:pt idx="348">
                  <c:v>14</c:v>
                </c:pt>
                <c:pt idx="349">
                  <c:v>107</c:v>
                </c:pt>
                <c:pt idx="350">
                  <c:v>1</c:v>
                </c:pt>
                <c:pt idx="351">
                  <c:v>94</c:v>
                </c:pt>
                <c:pt idx="352">
                  <c:v>55</c:v>
                </c:pt>
                <c:pt idx="353">
                  <c:v>79</c:v>
                </c:pt>
                <c:pt idx="354">
                  <c:v>56</c:v>
                </c:pt>
                <c:pt idx="355">
                  <c:v>116</c:v>
                </c:pt>
                <c:pt idx="356">
                  <c:v>1</c:v>
                </c:pt>
                <c:pt idx="357">
                  <c:v>55</c:v>
                </c:pt>
                <c:pt idx="358">
                  <c:v>37</c:v>
                </c:pt>
                <c:pt idx="359">
                  <c:v>22</c:v>
                </c:pt>
                <c:pt idx="360">
                  <c:v>4</c:v>
                </c:pt>
                <c:pt idx="361">
                  <c:v>20</c:v>
                </c:pt>
                <c:pt idx="362">
                  <c:v>49</c:v>
                </c:pt>
                <c:pt idx="363">
                  <c:v>111</c:v>
                </c:pt>
                <c:pt idx="364">
                  <c:v>1</c:v>
                </c:pt>
                <c:pt idx="365">
                  <c:v>69</c:v>
                </c:pt>
                <c:pt idx="366">
                  <c:v>94</c:v>
                </c:pt>
                <c:pt idx="367">
                  <c:v>81</c:v>
                </c:pt>
                <c:pt idx="368">
                  <c:v>79</c:v>
                </c:pt>
                <c:pt idx="369">
                  <c:v>91</c:v>
                </c:pt>
                <c:pt idx="370">
                  <c:v>65</c:v>
                </c:pt>
                <c:pt idx="371">
                  <c:v>73</c:v>
                </c:pt>
                <c:pt idx="372">
                  <c:v>21</c:v>
                </c:pt>
                <c:pt idx="373">
                  <c:v>40</c:v>
                </c:pt>
                <c:pt idx="374">
                  <c:v>96</c:v>
                </c:pt>
                <c:pt idx="375">
                  <c:v>41</c:v>
                </c:pt>
                <c:pt idx="376">
                  <c:v>76</c:v>
                </c:pt>
                <c:pt idx="377">
                  <c:v>97</c:v>
                </c:pt>
                <c:pt idx="378">
                  <c:v>77</c:v>
                </c:pt>
                <c:pt idx="379">
                  <c:v>67</c:v>
                </c:pt>
                <c:pt idx="380">
                  <c:v>3</c:v>
                </c:pt>
                <c:pt idx="381">
                  <c:v>49</c:v>
                </c:pt>
                <c:pt idx="382">
                  <c:v>43</c:v>
                </c:pt>
                <c:pt idx="383">
                  <c:v>119</c:v>
                </c:pt>
                <c:pt idx="384">
                  <c:v>77</c:v>
                </c:pt>
                <c:pt idx="385">
                  <c:v>88</c:v>
                </c:pt>
                <c:pt idx="386">
                  <c:v>110</c:v>
                </c:pt>
                <c:pt idx="387">
                  <c:v>110</c:v>
                </c:pt>
                <c:pt idx="388">
                  <c:v>89</c:v>
                </c:pt>
                <c:pt idx="389">
                  <c:v>32</c:v>
                </c:pt>
                <c:pt idx="390">
                  <c:v>64</c:v>
                </c:pt>
                <c:pt idx="391">
                  <c:v>120</c:v>
                </c:pt>
                <c:pt idx="392">
                  <c:v>70</c:v>
                </c:pt>
                <c:pt idx="393">
                  <c:v>35</c:v>
                </c:pt>
                <c:pt idx="394">
                  <c:v>97</c:v>
                </c:pt>
                <c:pt idx="395">
                  <c:v>69</c:v>
                </c:pt>
                <c:pt idx="396">
                  <c:v>66</c:v>
                </c:pt>
                <c:pt idx="397">
                  <c:v>19</c:v>
                </c:pt>
                <c:pt idx="398">
                  <c:v>14</c:v>
                </c:pt>
                <c:pt idx="399">
                  <c:v>70</c:v>
                </c:pt>
                <c:pt idx="400">
                  <c:v>47</c:v>
                </c:pt>
                <c:pt idx="401">
                  <c:v>0</c:v>
                </c:pt>
                <c:pt idx="402">
                  <c:v>25</c:v>
                </c:pt>
                <c:pt idx="403">
                  <c:v>24</c:v>
                </c:pt>
                <c:pt idx="404">
                  <c:v>31</c:v>
                </c:pt>
                <c:pt idx="405">
                  <c:v>0</c:v>
                </c:pt>
                <c:pt idx="406">
                  <c:v>43</c:v>
                </c:pt>
                <c:pt idx="407">
                  <c:v>54</c:v>
                </c:pt>
                <c:pt idx="408">
                  <c:v>71</c:v>
                </c:pt>
                <c:pt idx="409">
                  <c:v>88</c:v>
                </c:pt>
                <c:pt idx="410">
                  <c:v>2</c:v>
                </c:pt>
                <c:pt idx="411">
                  <c:v>108</c:v>
                </c:pt>
                <c:pt idx="412">
                  <c:v>107</c:v>
                </c:pt>
                <c:pt idx="413">
                  <c:v>20</c:v>
                </c:pt>
                <c:pt idx="414">
                  <c:v>27</c:v>
                </c:pt>
                <c:pt idx="415">
                  <c:v>112</c:v>
                </c:pt>
                <c:pt idx="416">
                  <c:v>87</c:v>
                </c:pt>
                <c:pt idx="417">
                  <c:v>105</c:v>
                </c:pt>
                <c:pt idx="418">
                  <c:v>25</c:v>
                </c:pt>
                <c:pt idx="419">
                  <c:v>95</c:v>
                </c:pt>
                <c:pt idx="420">
                  <c:v>117</c:v>
                </c:pt>
                <c:pt idx="421">
                  <c:v>20</c:v>
                </c:pt>
                <c:pt idx="422">
                  <c:v>71</c:v>
                </c:pt>
                <c:pt idx="423">
                  <c:v>32</c:v>
                </c:pt>
                <c:pt idx="424">
                  <c:v>6</c:v>
                </c:pt>
                <c:pt idx="425">
                  <c:v>19</c:v>
                </c:pt>
                <c:pt idx="426">
                  <c:v>22</c:v>
                </c:pt>
                <c:pt idx="427">
                  <c:v>9</c:v>
                </c:pt>
                <c:pt idx="428">
                  <c:v>80</c:v>
                </c:pt>
                <c:pt idx="429">
                  <c:v>5</c:v>
                </c:pt>
                <c:pt idx="430">
                  <c:v>2</c:v>
                </c:pt>
                <c:pt idx="431">
                  <c:v>7</c:v>
                </c:pt>
                <c:pt idx="432">
                  <c:v>110</c:v>
                </c:pt>
                <c:pt idx="433">
                  <c:v>64</c:v>
                </c:pt>
                <c:pt idx="434">
                  <c:v>83</c:v>
                </c:pt>
                <c:pt idx="435">
                  <c:v>36</c:v>
                </c:pt>
                <c:pt idx="436">
                  <c:v>0</c:v>
                </c:pt>
                <c:pt idx="437">
                  <c:v>118</c:v>
                </c:pt>
                <c:pt idx="438">
                  <c:v>7</c:v>
                </c:pt>
                <c:pt idx="439">
                  <c:v>72</c:v>
                </c:pt>
                <c:pt idx="440">
                  <c:v>3</c:v>
                </c:pt>
                <c:pt idx="441">
                  <c:v>14</c:v>
                </c:pt>
                <c:pt idx="442">
                  <c:v>34</c:v>
                </c:pt>
                <c:pt idx="443">
                  <c:v>79</c:v>
                </c:pt>
                <c:pt idx="444">
                  <c:v>104</c:v>
                </c:pt>
                <c:pt idx="445">
                  <c:v>7</c:v>
                </c:pt>
                <c:pt idx="446">
                  <c:v>42</c:v>
                </c:pt>
                <c:pt idx="447">
                  <c:v>118</c:v>
                </c:pt>
                <c:pt idx="448">
                  <c:v>111</c:v>
                </c:pt>
                <c:pt idx="449">
                  <c:v>23</c:v>
                </c:pt>
                <c:pt idx="450">
                  <c:v>9</c:v>
                </c:pt>
                <c:pt idx="451">
                  <c:v>38</c:v>
                </c:pt>
                <c:pt idx="452">
                  <c:v>69</c:v>
                </c:pt>
                <c:pt idx="453">
                  <c:v>18</c:v>
                </c:pt>
                <c:pt idx="454">
                  <c:v>74</c:v>
                </c:pt>
                <c:pt idx="455">
                  <c:v>70</c:v>
                </c:pt>
                <c:pt idx="456">
                  <c:v>43</c:v>
                </c:pt>
                <c:pt idx="457">
                  <c:v>38</c:v>
                </c:pt>
                <c:pt idx="458">
                  <c:v>59</c:v>
                </c:pt>
                <c:pt idx="459">
                  <c:v>25</c:v>
                </c:pt>
                <c:pt idx="460">
                  <c:v>117</c:v>
                </c:pt>
                <c:pt idx="461">
                  <c:v>119</c:v>
                </c:pt>
                <c:pt idx="462">
                  <c:v>92</c:v>
                </c:pt>
                <c:pt idx="463">
                  <c:v>100</c:v>
                </c:pt>
                <c:pt idx="464">
                  <c:v>7</c:v>
                </c:pt>
                <c:pt idx="465">
                  <c:v>46</c:v>
                </c:pt>
                <c:pt idx="466">
                  <c:v>76</c:v>
                </c:pt>
                <c:pt idx="467">
                  <c:v>18</c:v>
                </c:pt>
                <c:pt idx="468">
                  <c:v>48</c:v>
                </c:pt>
                <c:pt idx="469">
                  <c:v>22</c:v>
                </c:pt>
                <c:pt idx="470">
                  <c:v>19</c:v>
                </c:pt>
                <c:pt idx="471">
                  <c:v>109</c:v>
                </c:pt>
                <c:pt idx="472">
                  <c:v>89</c:v>
                </c:pt>
                <c:pt idx="473">
                  <c:v>109</c:v>
                </c:pt>
                <c:pt idx="474">
                  <c:v>71</c:v>
                </c:pt>
                <c:pt idx="475">
                  <c:v>43</c:v>
                </c:pt>
                <c:pt idx="476">
                  <c:v>116</c:v>
                </c:pt>
                <c:pt idx="477">
                  <c:v>67</c:v>
                </c:pt>
                <c:pt idx="478">
                  <c:v>35</c:v>
                </c:pt>
                <c:pt idx="479">
                  <c:v>87</c:v>
                </c:pt>
                <c:pt idx="480">
                  <c:v>101</c:v>
                </c:pt>
                <c:pt idx="481">
                  <c:v>17</c:v>
                </c:pt>
                <c:pt idx="482">
                  <c:v>49</c:v>
                </c:pt>
                <c:pt idx="483">
                  <c:v>88</c:v>
                </c:pt>
                <c:pt idx="484">
                  <c:v>45</c:v>
                </c:pt>
                <c:pt idx="485">
                  <c:v>30</c:v>
                </c:pt>
                <c:pt idx="486">
                  <c:v>13</c:v>
                </c:pt>
                <c:pt idx="487">
                  <c:v>47</c:v>
                </c:pt>
                <c:pt idx="488">
                  <c:v>10</c:v>
                </c:pt>
                <c:pt idx="489">
                  <c:v>24</c:v>
                </c:pt>
                <c:pt idx="490">
                  <c:v>48</c:v>
                </c:pt>
                <c:pt idx="491">
                  <c:v>30</c:v>
                </c:pt>
                <c:pt idx="492">
                  <c:v>97</c:v>
                </c:pt>
                <c:pt idx="493">
                  <c:v>59</c:v>
                </c:pt>
                <c:pt idx="494">
                  <c:v>36</c:v>
                </c:pt>
                <c:pt idx="495">
                  <c:v>102</c:v>
                </c:pt>
                <c:pt idx="496">
                  <c:v>92</c:v>
                </c:pt>
                <c:pt idx="497">
                  <c:v>44</c:v>
                </c:pt>
                <c:pt idx="498">
                  <c:v>48</c:v>
                </c:pt>
                <c:pt idx="499">
                  <c:v>34</c:v>
                </c:pt>
              </c:numCache>
            </c:numRef>
          </c:yVal>
          <c:smooth val="0"/>
          <c:extLst>
            <c:ext xmlns:c16="http://schemas.microsoft.com/office/drawing/2014/chart" uri="{C3380CC4-5D6E-409C-BE32-E72D297353CC}">
              <c16:uniqueId val="{00000000-3FBD-4550-9CC1-830AAFDA50EF}"/>
            </c:ext>
          </c:extLst>
        </c:ser>
        <c:ser>
          <c:idx val="4"/>
          <c:order val="4"/>
          <c:tx>
            <c:strRef>
              <c:f>User_data!$H$2</c:f>
              <c:strCache>
                <c:ptCount val="1"/>
                <c:pt idx="0">
                  <c:v>Engagement_Score</c:v>
                </c:pt>
              </c:strCache>
            </c:strRef>
          </c:tx>
          <c:spPr>
            <a:ln w="381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xVal>
            <c:multiLvlStrRef>
              <c:f>User_data!$A$3:$C$502</c:f>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f>User_data!$H$3:$H$502</c:f>
              <c:numCache>
                <c:formatCode>General</c:formatCode>
                <c:ptCount val="500"/>
                <c:pt idx="0">
                  <c:v>63.1</c:v>
                </c:pt>
                <c:pt idx="1">
                  <c:v>37.85</c:v>
                </c:pt>
                <c:pt idx="2">
                  <c:v>31.9</c:v>
                </c:pt>
                <c:pt idx="3">
                  <c:v>59.4</c:v>
                </c:pt>
                <c:pt idx="4">
                  <c:v>35.299999999999997</c:v>
                </c:pt>
                <c:pt idx="5">
                  <c:v>70.150000000000006</c:v>
                </c:pt>
                <c:pt idx="6">
                  <c:v>28.7</c:v>
                </c:pt>
                <c:pt idx="7">
                  <c:v>52.55</c:v>
                </c:pt>
                <c:pt idx="8">
                  <c:v>73.95</c:v>
                </c:pt>
                <c:pt idx="9">
                  <c:v>65.95</c:v>
                </c:pt>
                <c:pt idx="10">
                  <c:v>54.25</c:v>
                </c:pt>
                <c:pt idx="11">
                  <c:v>33.4</c:v>
                </c:pt>
                <c:pt idx="12">
                  <c:v>68.650000000000006</c:v>
                </c:pt>
                <c:pt idx="13">
                  <c:v>31.7</c:v>
                </c:pt>
                <c:pt idx="14">
                  <c:v>43.4</c:v>
                </c:pt>
                <c:pt idx="15">
                  <c:v>25.4</c:v>
                </c:pt>
                <c:pt idx="16">
                  <c:v>29.45</c:v>
                </c:pt>
                <c:pt idx="17">
                  <c:v>64</c:v>
                </c:pt>
                <c:pt idx="18">
                  <c:v>38.4</c:v>
                </c:pt>
                <c:pt idx="19">
                  <c:v>69.2</c:v>
                </c:pt>
                <c:pt idx="20">
                  <c:v>36.1</c:v>
                </c:pt>
                <c:pt idx="21">
                  <c:v>17.899999999999999</c:v>
                </c:pt>
                <c:pt idx="22">
                  <c:v>69.650000000000006</c:v>
                </c:pt>
                <c:pt idx="23">
                  <c:v>48.05</c:v>
                </c:pt>
                <c:pt idx="24">
                  <c:v>10.25</c:v>
                </c:pt>
                <c:pt idx="25">
                  <c:v>74.7</c:v>
                </c:pt>
                <c:pt idx="26">
                  <c:v>41.25</c:v>
                </c:pt>
                <c:pt idx="27">
                  <c:v>61.95</c:v>
                </c:pt>
                <c:pt idx="28">
                  <c:v>18.899999999999999</c:v>
                </c:pt>
                <c:pt idx="29">
                  <c:v>44.9</c:v>
                </c:pt>
                <c:pt idx="30">
                  <c:v>64.900000000000006</c:v>
                </c:pt>
                <c:pt idx="31">
                  <c:v>64.599999999999994</c:v>
                </c:pt>
                <c:pt idx="32">
                  <c:v>38.700000000000003</c:v>
                </c:pt>
                <c:pt idx="33">
                  <c:v>37.25</c:v>
                </c:pt>
                <c:pt idx="34">
                  <c:v>66.7</c:v>
                </c:pt>
                <c:pt idx="35">
                  <c:v>36.75</c:v>
                </c:pt>
                <c:pt idx="36">
                  <c:v>30.65</c:v>
                </c:pt>
                <c:pt idx="37">
                  <c:v>58.75</c:v>
                </c:pt>
                <c:pt idx="38">
                  <c:v>6.85</c:v>
                </c:pt>
                <c:pt idx="39">
                  <c:v>52.8</c:v>
                </c:pt>
                <c:pt idx="40">
                  <c:v>28.25</c:v>
                </c:pt>
                <c:pt idx="41">
                  <c:v>48.8</c:v>
                </c:pt>
                <c:pt idx="42">
                  <c:v>35.6</c:v>
                </c:pt>
                <c:pt idx="43">
                  <c:v>34.299999999999997</c:v>
                </c:pt>
                <c:pt idx="44">
                  <c:v>5.85</c:v>
                </c:pt>
                <c:pt idx="45">
                  <c:v>53.55</c:v>
                </c:pt>
                <c:pt idx="46">
                  <c:v>49.4</c:v>
                </c:pt>
                <c:pt idx="47">
                  <c:v>56.6</c:v>
                </c:pt>
                <c:pt idx="48">
                  <c:v>41.2</c:v>
                </c:pt>
                <c:pt idx="49">
                  <c:v>47.65</c:v>
                </c:pt>
                <c:pt idx="50">
                  <c:v>20.25</c:v>
                </c:pt>
                <c:pt idx="51">
                  <c:v>68.55</c:v>
                </c:pt>
                <c:pt idx="52">
                  <c:v>23.15</c:v>
                </c:pt>
                <c:pt idx="53">
                  <c:v>48.6</c:v>
                </c:pt>
                <c:pt idx="54">
                  <c:v>56.2</c:v>
                </c:pt>
                <c:pt idx="55">
                  <c:v>40</c:v>
                </c:pt>
                <c:pt idx="56">
                  <c:v>36.35</c:v>
                </c:pt>
                <c:pt idx="57">
                  <c:v>63.1</c:v>
                </c:pt>
                <c:pt idx="58">
                  <c:v>62.4</c:v>
                </c:pt>
                <c:pt idx="59">
                  <c:v>48.35</c:v>
                </c:pt>
                <c:pt idx="60">
                  <c:v>43.45</c:v>
                </c:pt>
                <c:pt idx="61">
                  <c:v>32.299999999999997</c:v>
                </c:pt>
                <c:pt idx="62">
                  <c:v>40.9</c:v>
                </c:pt>
                <c:pt idx="63">
                  <c:v>25.5</c:v>
                </c:pt>
                <c:pt idx="64">
                  <c:v>54.65</c:v>
                </c:pt>
                <c:pt idx="65">
                  <c:v>38.950000000000003</c:v>
                </c:pt>
                <c:pt idx="66">
                  <c:v>68</c:v>
                </c:pt>
                <c:pt idx="67">
                  <c:v>57.35</c:v>
                </c:pt>
                <c:pt idx="68">
                  <c:v>29.2</c:v>
                </c:pt>
                <c:pt idx="69">
                  <c:v>23.5</c:v>
                </c:pt>
                <c:pt idx="70">
                  <c:v>79.7</c:v>
                </c:pt>
                <c:pt idx="71">
                  <c:v>44.75</c:v>
                </c:pt>
                <c:pt idx="72">
                  <c:v>49.35</c:v>
                </c:pt>
                <c:pt idx="73">
                  <c:v>22.95</c:v>
                </c:pt>
                <c:pt idx="74">
                  <c:v>47.65</c:v>
                </c:pt>
                <c:pt idx="75">
                  <c:v>23.5</c:v>
                </c:pt>
                <c:pt idx="76">
                  <c:v>55.35</c:v>
                </c:pt>
                <c:pt idx="77">
                  <c:v>51.3</c:v>
                </c:pt>
                <c:pt idx="78">
                  <c:v>42.9</c:v>
                </c:pt>
                <c:pt idx="79">
                  <c:v>68.650000000000006</c:v>
                </c:pt>
                <c:pt idx="80">
                  <c:v>66.55</c:v>
                </c:pt>
                <c:pt idx="81">
                  <c:v>6.2</c:v>
                </c:pt>
                <c:pt idx="82">
                  <c:v>31.8</c:v>
                </c:pt>
                <c:pt idx="83">
                  <c:v>33.950000000000003</c:v>
                </c:pt>
                <c:pt idx="84">
                  <c:v>45.8</c:v>
                </c:pt>
                <c:pt idx="85">
                  <c:v>36.049999999999997</c:v>
                </c:pt>
                <c:pt idx="86">
                  <c:v>39.4</c:v>
                </c:pt>
                <c:pt idx="87">
                  <c:v>29.8</c:v>
                </c:pt>
                <c:pt idx="88">
                  <c:v>64.5</c:v>
                </c:pt>
                <c:pt idx="89">
                  <c:v>39.25</c:v>
                </c:pt>
                <c:pt idx="90">
                  <c:v>56.65</c:v>
                </c:pt>
                <c:pt idx="91">
                  <c:v>43.9</c:v>
                </c:pt>
                <c:pt idx="92">
                  <c:v>47.4</c:v>
                </c:pt>
                <c:pt idx="93">
                  <c:v>16.7</c:v>
                </c:pt>
                <c:pt idx="94">
                  <c:v>24.1</c:v>
                </c:pt>
                <c:pt idx="95">
                  <c:v>35.75</c:v>
                </c:pt>
                <c:pt idx="96">
                  <c:v>48.75</c:v>
                </c:pt>
                <c:pt idx="97">
                  <c:v>58.2</c:v>
                </c:pt>
                <c:pt idx="98">
                  <c:v>39.299999999999997</c:v>
                </c:pt>
                <c:pt idx="99">
                  <c:v>53.75</c:v>
                </c:pt>
                <c:pt idx="100">
                  <c:v>47.6</c:v>
                </c:pt>
                <c:pt idx="101">
                  <c:v>44.05</c:v>
                </c:pt>
                <c:pt idx="102">
                  <c:v>59</c:v>
                </c:pt>
                <c:pt idx="103">
                  <c:v>41.25</c:v>
                </c:pt>
                <c:pt idx="104">
                  <c:v>45.85</c:v>
                </c:pt>
                <c:pt idx="105">
                  <c:v>25.25</c:v>
                </c:pt>
                <c:pt idx="106">
                  <c:v>84.35</c:v>
                </c:pt>
                <c:pt idx="107">
                  <c:v>61.85</c:v>
                </c:pt>
                <c:pt idx="108">
                  <c:v>65</c:v>
                </c:pt>
                <c:pt idx="109">
                  <c:v>48.85</c:v>
                </c:pt>
                <c:pt idx="110">
                  <c:v>52.15</c:v>
                </c:pt>
                <c:pt idx="111">
                  <c:v>54.1</c:v>
                </c:pt>
                <c:pt idx="112">
                  <c:v>78.150000000000006</c:v>
                </c:pt>
                <c:pt idx="113">
                  <c:v>65.099999999999994</c:v>
                </c:pt>
                <c:pt idx="114">
                  <c:v>14.15</c:v>
                </c:pt>
                <c:pt idx="115">
                  <c:v>76.2</c:v>
                </c:pt>
                <c:pt idx="116">
                  <c:v>31.8</c:v>
                </c:pt>
                <c:pt idx="117">
                  <c:v>60.15</c:v>
                </c:pt>
                <c:pt idx="118">
                  <c:v>43.9</c:v>
                </c:pt>
                <c:pt idx="119">
                  <c:v>49.4</c:v>
                </c:pt>
                <c:pt idx="120">
                  <c:v>42.75</c:v>
                </c:pt>
                <c:pt idx="121">
                  <c:v>41.5</c:v>
                </c:pt>
                <c:pt idx="122">
                  <c:v>34.799999999999997</c:v>
                </c:pt>
                <c:pt idx="123">
                  <c:v>68.5</c:v>
                </c:pt>
                <c:pt idx="124">
                  <c:v>33.950000000000003</c:v>
                </c:pt>
                <c:pt idx="125">
                  <c:v>39.4</c:v>
                </c:pt>
                <c:pt idx="126">
                  <c:v>68.099999999999994</c:v>
                </c:pt>
                <c:pt idx="127">
                  <c:v>49.35</c:v>
                </c:pt>
                <c:pt idx="128">
                  <c:v>29.9</c:v>
                </c:pt>
                <c:pt idx="129">
                  <c:v>27.3</c:v>
                </c:pt>
                <c:pt idx="130">
                  <c:v>44.95</c:v>
                </c:pt>
                <c:pt idx="131">
                  <c:v>32.950000000000003</c:v>
                </c:pt>
                <c:pt idx="132">
                  <c:v>31.6</c:v>
                </c:pt>
                <c:pt idx="133">
                  <c:v>54.45</c:v>
                </c:pt>
                <c:pt idx="134">
                  <c:v>30.15</c:v>
                </c:pt>
                <c:pt idx="135">
                  <c:v>38.75</c:v>
                </c:pt>
                <c:pt idx="136">
                  <c:v>49</c:v>
                </c:pt>
                <c:pt idx="137">
                  <c:v>24.8</c:v>
                </c:pt>
                <c:pt idx="138">
                  <c:v>59.65</c:v>
                </c:pt>
                <c:pt idx="139">
                  <c:v>19.149999999999999</c:v>
                </c:pt>
                <c:pt idx="140">
                  <c:v>29.85</c:v>
                </c:pt>
                <c:pt idx="141">
                  <c:v>52.15</c:v>
                </c:pt>
                <c:pt idx="142">
                  <c:v>14.35</c:v>
                </c:pt>
                <c:pt idx="143">
                  <c:v>41.1</c:v>
                </c:pt>
                <c:pt idx="144">
                  <c:v>23.65</c:v>
                </c:pt>
                <c:pt idx="145">
                  <c:v>63.05</c:v>
                </c:pt>
                <c:pt idx="146">
                  <c:v>53.45</c:v>
                </c:pt>
                <c:pt idx="147">
                  <c:v>54.35</c:v>
                </c:pt>
                <c:pt idx="148">
                  <c:v>47.3</c:v>
                </c:pt>
                <c:pt idx="149">
                  <c:v>71.150000000000006</c:v>
                </c:pt>
                <c:pt idx="150">
                  <c:v>38.799999999999997</c:v>
                </c:pt>
                <c:pt idx="151">
                  <c:v>67.599999999999994</c:v>
                </c:pt>
                <c:pt idx="152">
                  <c:v>26.8</c:v>
                </c:pt>
                <c:pt idx="153">
                  <c:v>78.5</c:v>
                </c:pt>
                <c:pt idx="154">
                  <c:v>56.8</c:v>
                </c:pt>
                <c:pt idx="155">
                  <c:v>65.400000000000006</c:v>
                </c:pt>
                <c:pt idx="156">
                  <c:v>41.3</c:v>
                </c:pt>
                <c:pt idx="157">
                  <c:v>46.65</c:v>
                </c:pt>
                <c:pt idx="158">
                  <c:v>18</c:v>
                </c:pt>
                <c:pt idx="159">
                  <c:v>54.65</c:v>
                </c:pt>
                <c:pt idx="160">
                  <c:v>40.75</c:v>
                </c:pt>
                <c:pt idx="161">
                  <c:v>40.299999999999997</c:v>
                </c:pt>
                <c:pt idx="162">
                  <c:v>71.25</c:v>
                </c:pt>
                <c:pt idx="163">
                  <c:v>32.15</c:v>
                </c:pt>
                <c:pt idx="164">
                  <c:v>43.4</c:v>
                </c:pt>
                <c:pt idx="165">
                  <c:v>70.45</c:v>
                </c:pt>
                <c:pt idx="166">
                  <c:v>73.099999999999994</c:v>
                </c:pt>
                <c:pt idx="167">
                  <c:v>38</c:v>
                </c:pt>
                <c:pt idx="168">
                  <c:v>37.25</c:v>
                </c:pt>
                <c:pt idx="169">
                  <c:v>18.45</c:v>
                </c:pt>
                <c:pt idx="170">
                  <c:v>56.85</c:v>
                </c:pt>
                <c:pt idx="171">
                  <c:v>37.049999999999997</c:v>
                </c:pt>
                <c:pt idx="172">
                  <c:v>59</c:v>
                </c:pt>
                <c:pt idx="173">
                  <c:v>46.35</c:v>
                </c:pt>
                <c:pt idx="174">
                  <c:v>55.2</c:v>
                </c:pt>
                <c:pt idx="175">
                  <c:v>70.349999999999994</c:v>
                </c:pt>
                <c:pt idx="176">
                  <c:v>33.450000000000003</c:v>
                </c:pt>
                <c:pt idx="177">
                  <c:v>56.8</c:v>
                </c:pt>
                <c:pt idx="178">
                  <c:v>49.7</c:v>
                </c:pt>
                <c:pt idx="179">
                  <c:v>48.9</c:v>
                </c:pt>
                <c:pt idx="180">
                  <c:v>64.150000000000006</c:v>
                </c:pt>
                <c:pt idx="181">
                  <c:v>56.7</c:v>
                </c:pt>
                <c:pt idx="182">
                  <c:v>62.3</c:v>
                </c:pt>
                <c:pt idx="183">
                  <c:v>68.849999999999994</c:v>
                </c:pt>
                <c:pt idx="184">
                  <c:v>63.3</c:v>
                </c:pt>
                <c:pt idx="185">
                  <c:v>44.4</c:v>
                </c:pt>
                <c:pt idx="186">
                  <c:v>63.05</c:v>
                </c:pt>
                <c:pt idx="187">
                  <c:v>53.9</c:v>
                </c:pt>
                <c:pt idx="188">
                  <c:v>19.55</c:v>
                </c:pt>
                <c:pt idx="189">
                  <c:v>29.25</c:v>
                </c:pt>
                <c:pt idx="190">
                  <c:v>16.55</c:v>
                </c:pt>
                <c:pt idx="191">
                  <c:v>54.85</c:v>
                </c:pt>
                <c:pt idx="192">
                  <c:v>18.600000000000001</c:v>
                </c:pt>
                <c:pt idx="193">
                  <c:v>23.25</c:v>
                </c:pt>
                <c:pt idx="194">
                  <c:v>64.599999999999994</c:v>
                </c:pt>
                <c:pt idx="195">
                  <c:v>26.3</c:v>
                </c:pt>
                <c:pt idx="196">
                  <c:v>23.9</c:v>
                </c:pt>
                <c:pt idx="197">
                  <c:v>79.349999999999994</c:v>
                </c:pt>
                <c:pt idx="198">
                  <c:v>63</c:v>
                </c:pt>
                <c:pt idx="199">
                  <c:v>58.45</c:v>
                </c:pt>
                <c:pt idx="200">
                  <c:v>47.5</c:v>
                </c:pt>
                <c:pt idx="201">
                  <c:v>33.450000000000003</c:v>
                </c:pt>
                <c:pt idx="202">
                  <c:v>77.650000000000006</c:v>
                </c:pt>
                <c:pt idx="203">
                  <c:v>49.75</c:v>
                </c:pt>
                <c:pt idx="204">
                  <c:v>56.05</c:v>
                </c:pt>
                <c:pt idx="205">
                  <c:v>44.4</c:v>
                </c:pt>
                <c:pt idx="206">
                  <c:v>36.049999999999997</c:v>
                </c:pt>
                <c:pt idx="207">
                  <c:v>55.9</c:v>
                </c:pt>
                <c:pt idx="208">
                  <c:v>41.9</c:v>
                </c:pt>
                <c:pt idx="209">
                  <c:v>24.4</c:v>
                </c:pt>
                <c:pt idx="210">
                  <c:v>68.7</c:v>
                </c:pt>
                <c:pt idx="211">
                  <c:v>53.75</c:v>
                </c:pt>
                <c:pt idx="212">
                  <c:v>72.95</c:v>
                </c:pt>
                <c:pt idx="213">
                  <c:v>61.75</c:v>
                </c:pt>
                <c:pt idx="214">
                  <c:v>47.45</c:v>
                </c:pt>
                <c:pt idx="215">
                  <c:v>46.15</c:v>
                </c:pt>
                <c:pt idx="216">
                  <c:v>48</c:v>
                </c:pt>
                <c:pt idx="217">
                  <c:v>47.85</c:v>
                </c:pt>
                <c:pt idx="218">
                  <c:v>43.3</c:v>
                </c:pt>
                <c:pt idx="219">
                  <c:v>73.5</c:v>
                </c:pt>
                <c:pt idx="220">
                  <c:v>45.5</c:v>
                </c:pt>
                <c:pt idx="221">
                  <c:v>59.35</c:v>
                </c:pt>
                <c:pt idx="222">
                  <c:v>38.6</c:v>
                </c:pt>
                <c:pt idx="223">
                  <c:v>51.9</c:v>
                </c:pt>
                <c:pt idx="224">
                  <c:v>54.95</c:v>
                </c:pt>
                <c:pt idx="225">
                  <c:v>49.5</c:v>
                </c:pt>
                <c:pt idx="226">
                  <c:v>29.4</c:v>
                </c:pt>
                <c:pt idx="227">
                  <c:v>32.049999999999997</c:v>
                </c:pt>
                <c:pt idx="228">
                  <c:v>36.65</c:v>
                </c:pt>
                <c:pt idx="229">
                  <c:v>30.75</c:v>
                </c:pt>
                <c:pt idx="230">
                  <c:v>29.2</c:v>
                </c:pt>
                <c:pt idx="231">
                  <c:v>19.95</c:v>
                </c:pt>
                <c:pt idx="232">
                  <c:v>40.950000000000003</c:v>
                </c:pt>
                <c:pt idx="233">
                  <c:v>41.1</c:v>
                </c:pt>
                <c:pt idx="234">
                  <c:v>45.35</c:v>
                </c:pt>
                <c:pt idx="235">
                  <c:v>47.25</c:v>
                </c:pt>
                <c:pt idx="236">
                  <c:v>56.4</c:v>
                </c:pt>
                <c:pt idx="237">
                  <c:v>52.05</c:v>
                </c:pt>
                <c:pt idx="238">
                  <c:v>64.849999999999994</c:v>
                </c:pt>
                <c:pt idx="239">
                  <c:v>20.2</c:v>
                </c:pt>
                <c:pt idx="240">
                  <c:v>57.75</c:v>
                </c:pt>
                <c:pt idx="241">
                  <c:v>64.599999999999994</c:v>
                </c:pt>
                <c:pt idx="242">
                  <c:v>72.650000000000006</c:v>
                </c:pt>
                <c:pt idx="243">
                  <c:v>59.6</c:v>
                </c:pt>
                <c:pt idx="244">
                  <c:v>64.400000000000006</c:v>
                </c:pt>
                <c:pt idx="245">
                  <c:v>44.05</c:v>
                </c:pt>
                <c:pt idx="246">
                  <c:v>12.55</c:v>
                </c:pt>
                <c:pt idx="247">
                  <c:v>30.15</c:v>
                </c:pt>
                <c:pt idx="248">
                  <c:v>32.9</c:v>
                </c:pt>
                <c:pt idx="249">
                  <c:v>61.6</c:v>
                </c:pt>
                <c:pt idx="250">
                  <c:v>70.599999999999994</c:v>
                </c:pt>
                <c:pt idx="251">
                  <c:v>43.55</c:v>
                </c:pt>
                <c:pt idx="252">
                  <c:v>16</c:v>
                </c:pt>
                <c:pt idx="253">
                  <c:v>32.950000000000003</c:v>
                </c:pt>
                <c:pt idx="254">
                  <c:v>19.399999999999999</c:v>
                </c:pt>
                <c:pt idx="255">
                  <c:v>20.55</c:v>
                </c:pt>
                <c:pt idx="256">
                  <c:v>21.65</c:v>
                </c:pt>
                <c:pt idx="257">
                  <c:v>53.45</c:v>
                </c:pt>
                <c:pt idx="258">
                  <c:v>22.55</c:v>
                </c:pt>
                <c:pt idx="259">
                  <c:v>49.45</c:v>
                </c:pt>
                <c:pt idx="260">
                  <c:v>56.85</c:v>
                </c:pt>
                <c:pt idx="261">
                  <c:v>54.7</c:v>
                </c:pt>
                <c:pt idx="262">
                  <c:v>13.05</c:v>
                </c:pt>
                <c:pt idx="263">
                  <c:v>49.75</c:v>
                </c:pt>
                <c:pt idx="264">
                  <c:v>35.950000000000003</c:v>
                </c:pt>
                <c:pt idx="265">
                  <c:v>51.65</c:v>
                </c:pt>
                <c:pt idx="266">
                  <c:v>64.2</c:v>
                </c:pt>
                <c:pt idx="267">
                  <c:v>12.05</c:v>
                </c:pt>
                <c:pt idx="268">
                  <c:v>70.45</c:v>
                </c:pt>
                <c:pt idx="269">
                  <c:v>24.9</c:v>
                </c:pt>
                <c:pt idx="270">
                  <c:v>36.700000000000003</c:v>
                </c:pt>
                <c:pt idx="271">
                  <c:v>64.45</c:v>
                </c:pt>
                <c:pt idx="272">
                  <c:v>25.65</c:v>
                </c:pt>
                <c:pt idx="273">
                  <c:v>79.849999999999994</c:v>
                </c:pt>
                <c:pt idx="274">
                  <c:v>26.35</c:v>
                </c:pt>
                <c:pt idx="275">
                  <c:v>28.55</c:v>
                </c:pt>
                <c:pt idx="276">
                  <c:v>62.7</c:v>
                </c:pt>
                <c:pt idx="277">
                  <c:v>53.2</c:v>
                </c:pt>
                <c:pt idx="278">
                  <c:v>41.15</c:v>
                </c:pt>
                <c:pt idx="279">
                  <c:v>81.05</c:v>
                </c:pt>
                <c:pt idx="280">
                  <c:v>68.349999999999994</c:v>
                </c:pt>
                <c:pt idx="281">
                  <c:v>26.65</c:v>
                </c:pt>
                <c:pt idx="282">
                  <c:v>40.6</c:v>
                </c:pt>
                <c:pt idx="283">
                  <c:v>50.05</c:v>
                </c:pt>
                <c:pt idx="284">
                  <c:v>18.8</c:v>
                </c:pt>
                <c:pt idx="285">
                  <c:v>19</c:v>
                </c:pt>
                <c:pt idx="286">
                  <c:v>40.9</c:v>
                </c:pt>
                <c:pt idx="287">
                  <c:v>58.9</c:v>
                </c:pt>
                <c:pt idx="288">
                  <c:v>31.4</c:v>
                </c:pt>
                <c:pt idx="289">
                  <c:v>36.4</c:v>
                </c:pt>
                <c:pt idx="290">
                  <c:v>52.65</c:v>
                </c:pt>
                <c:pt idx="291">
                  <c:v>44.5</c:v>
                </c:pt>
                <c:pt idx="292">
                  <c:v>69.400000000000006</c:v>
                </c:pt>
                <c:pt idx="293">
                  <c:v>46.85</c:v>
                </c:pt>
                <c:pt idx="294">
                  <c:v>46.2</c:v>
                </c:pt>
                <c:pt idx="295">
                  <c:v>66.05</c:v>
                </c:pt>
                <c:pt idx="296">
                  <c:v>39.200000000000003</c:v>
                </c:pt>
                <c:pt idx="297">
                  <c:v>49.6</c:v>
                </c:pt>
                <c:pt idx="298">
                  <c:v>27.1</c:v>
                </c:pt>
                <c:pt idx="299">
                  <c:v>42.3</c:v>
                </c:pt>
                <c:pt idx="300">
                  <c:v>39.85</c:v>
                </c:pt>
                <c:pt idx="301">
                  <c:v>59.4</c:v>
                </c:pt>
                <c:pt idx="302">
                  <c:v>55.1</c:v>
                </c:pt>
                <c:pt idx="303">
                  <c:v>37.6</c:v>
                </c:pt>
                <c:pt idx="304">
                  <c:v>59.75</c:v>
                </c:pt>
                <c:pt idx="305">
                  <c:v>27.25</c:v>
                </c:pt>
                <c:pt idx="306">
                  <c:v>29</c:v>
                </c:pt>
                <c:pt idx="307">
                  <c:v>50.35</c:v>
                </c:pt>
                <c:pt idx="308">
                  <c:v>20.65</c:v>
                </c:pt>
                <c:pt idx="309">
                  <c:v>41.25</c:v>
                </c:pt>
                <c:pt idx="310">
                  <c:v>36</c:v>
                </c:pt>
                <c:pt idx="311">
                  <c:v>39.25</c:v>
                </c:pt>
                <c:pt idx="312">
                  <c:v>48.65</c:v>
                </c:pt>
                <c:pt idx="313">
                  <c:v>22.6</c:v>
                </c:pt>
                <c:pt idx="314">
                  <c:v>23.45</c:v>
                </c:pt>
                <c:pt idx="315">
                  <c:v>55.85</c:v>
                </c:pt>
                <c:pt idx="316">
                  <c:v>22.8</c:v>
                </c:pt>
                <c:pt idx="317">
                  <c:v>39</c:v>
                </c:pt>
                <c:pt idx="318">
                  <c:v>56.25</c:v>
                </c:pt>
                <c:pt idx="319">
                  <c:v>67.8</c:v>
                </c:pt>
                <c:pt idx="320">
                  <c:v>65.650000000000006</c:v>
                </c:pt>
                <c:pt idx="321">
                  <c:v>73.05</c:v>
                </c:pt>
                <c:pt idx="322">
                  <c:v>49.2</c:v>
                </c:pt>
                <c:pt idx="323">
                  <c:v>76.8</c:v>
                </c:pt>
                <c:pt idx="324">
                  <c:v>43.1</c:v>
                </c:pt>
                <c:pt idx="325">
                  <c:v>32.9</c:v>
                </c:pt>
                <c:pt idx="326">
                  <c:v>52.7</c:v>
                </c:pt>
                <c:pt idx="327">
                  <c:v>39.35</c:v>
                </c:pt>
                <c:pt idx="328">
                  <c:v>84.75</c:v>
                </c:pt>
                <c:pt idx="329">
                  <c:v>80.599999999999994</c:v>
                </c:pt>
                <c:pt idx="330">
                  <c:v>65.75</c:v>
                </c:pt>
                <c:pt idx="331">
                  <c:v>50.4</c:v>
                </c:pt>
                <c:pt idx="332">
                  <c:v>28.35</c:v>
                </c:pt>
                <c:pt idx="333">
                  <c:v>24.95</c:v>
                </c:pt>
                <c:pt idx="334">
                  <c:v>69.349999999999994</c:v>
                </c:pt>
                <c:pt idx="335">
                  <c:v>68.7</c:v>
                </c:pt>
                <c:pt idx="336">
                  <c:v>55.3</c:v>
                </c:pt>
                <c:pt idx="337">
                  <c:v>74.8</c:v>
                </c:pt>
                <c:pt idx="338">
                  <c:v>80.349999999999994</c:v>
                </c:pt>
                <c:pt idx="339">
                  <c:v>72.099999999999994</c:v>
                </c:pt>
                <c:pt idx="340">
                  <c:v>35</c:v>
                </c:pt>
                <c:pt idx="341">
                  <c:v>60.75</c:v>
                </c:pt>
                <c:pt idx="342">
                  <c:v>71.599999999999994</c:v>
                </c:pt>
                <c:pt idx="343">
                  <c:v>61</c:v>
                </c:pt>
                <c:pt idx="344">
                  <c:v>35.700000000000003</c:v>
                </c:pt>
                <c:pt idx="345">
                  <c:v>55.6</c:v>
                </c:pt>
                <c:pt idx="346">
                  <c:v>73.2</c:v>
                </c:pt>
                <c:pt idx="347">
                  <c:v>35.9</c:v>
                </c:pt>
                <c:pt idx="348">
                  <c:v>64.7</c:v>
                </c:pt>
                <c:pt idx="349">
                  <c:v>33.35</c:v>
                </c:pt>
                <c:pt idx="350">
                  <c:v>21.05</c:v>
                </c:pt>
                <c:pt idx="351">
                  <c:v>51.7</c:v>
                </c:pt>
                <c:pt idx="352">
                  <c:v>59.75</c:v>
                </c:pt>
                <c:pt idx="353">
                  <c:v>33.950000000000003</c:v>
                </c:pt>
                <c:pt idx="354">
                  <c:v>45.8</c:v>
                </c:pt>
                <c:pt idx="355">
                  <c:v>18.8</c:v>
                </c:pt>
                <c:pt idx="356">
                  <c:v>20.05</c:v>
                </c:pt>
                <c:pt idx="357">
                  <c:v>31.75</c:v>
                </c:pt>
                <c:pt idx="358">
                  <c:v>41.85</c:v>
                </c:pt>
                <c:pt idx="359">
                  <c:v>36.1</c:v>
                </c:pt>
                <c:pt idx="360">
                  <c:v>64.2</c:v>
                </c:pt>
                <c:pt idx="361">
                  <c:v>63</c:v>
                </c:pt>
                <c:pt idx="362">
                  <c:v>54.45</c:v>
                </c:pt>
                <c:pt idx="363">
                  <c:v>84.55</c:v>
                </c:pt>
                <c:pt idx="364">
                  <c:v>58.05</c:v>
                </c:pt>
                <c:pt idx="365">
                  <c:v>49.45</c:v>
                </c:pt>
                <c:pt idx="366">
                  <c:v>51.7</c:v>
                </c:pt>
                <c:pt idx="367">
                  <c:v>42.05</c:v>
                </c:pt>
                <c:pt idx="368">
                  <c:v>61.95</c:v>
                </c:pt>
                <c:pt idx="369">
                  <c:v>72.55</c:v>
                </c:pt>
                <c:pt idx="370">
                  <c:v>69.25</c:v>
                </c:pt>
                <c:pt idx="371">
                  <c:v>33.65</c:v>
                </c:pt>
                <c:pt idx="372">
                  <c:v>63.05</c:v>
                </c:pt>
                <c:pt idx="373">
                  <c:v>41</c:v>
                </c:pt>
                <c:pt idx="374">
                  <c:v>51.8</c:v>
                </c:pt>
                <c:pt idx="375">
                  <c:v>10.050000000000001</c:v>
                </c:pt>
                <c:pt idx="376">
                  <c:v>77.8</c:v>
                </c:pt>
                <c:pt idx="377">
                  <c:v>16.850000000000001</c:v>
                </c:pt>
                <c:pt idx="378">
                  <c:v>60.85</c:v>
                </c:pt>
                <c:pt idx="379">
                  <c:v>17.350000000000001</c:v>
                </c:pt>
                <c:pt idx="380">
                  <c:v>61.15</c:v>
                </c:pt>
                <c:pt idx="381">
                  <c:v>12.45</c:v>
                </c:pt>
                <c:pt idx="382">
                  <c:v>32.15</c:v>
                </c:pt>
                <c:pt idx="383">
                  <c:v>35.950000000000003</c:v>
                </c:pt>
                <c:pt idx="384">
                  <c:v>76.849999999999994</c:v>
                </c:pt>
                <c:pt idx="385">
                  <c:v>79.400000000000006</c:v>
                </c:pt>
                <c:pt idx="386">
                  <c:v>45.5</c:v>
                </c:pt>
                <c:pt idx="387">
                  <c:v>46.5</c:v>
                </c:pt>
                <c:pt idx="388">
                  <c:v>45.45</c:v>
                </c:pt>
                <c:pt idx="389">
                  <c:v>45.6</c:v>
                </c:pt>
                <c:pt idx="390">
                  <c:v>56.2</c:v>
                </c:pt>
                <c:pt idx="391">
                  <c:v>22</c:v>
                </c:pt>
                <c:pt idx="392">
                  <c:v>50.5</c:v>
                </c:pt>
                <c:pt idx="393">
                  <c:v>62.75</c:v>
                </c:pt>
                <c:pt idx="394">
                  <c:v>37.85</c:v>
                </c:pt>
                <c:pt idx="395">
                  <c:v>32.450000000000003</c:v>
                </c:pt>
                <c:pt idx="396">
                  <c:v>57.3</c:v>
                </c:pt>
                <c:pt idx="397">
                  <c:v>38.950000000000003</c:v>
                </c:pt>
                <c:pt idx="398">
                  <c:v>58.7</c:v>
                </c:pt>
                <c:pt idx="399">
                  <c:v>52.5</c:v>
                </c:pt>
                <c:pt idx="400">
                  <c:v>21.35</c:v>
                </c:pt>
                <c:pt idx="401">
                  <c:v>19</c:v>
                </c:pt>
                <c:pt idx="402">
                  <c:v>37.25</c:v>
                </c:pt>
                <c:pt idx="403">
                  <c:v>62.2</c:v>
                </c:pt>
                <c:pt idx="404">
                  <c:v>43.55</c:v>
                </c:pt>
                <c:pt idx="405">
                  <c:v>40</c:v>
                </c:pt>
                <c:pt idx="406">
                  <c:v>9.15</c:v>
                </c:pt>
                <c:pt idx="407">
                  <c:v>33.700000000000003</c:v>
                </c:pt>
                <c:pt idx="408">
                  <c:v>36.549999999999997</c:v>
                </c:pt>
                <c:pt idx="409">
                  <c:v>21.4</c:v>
                </c:pt>
                <c:pt idx="410">
                  <c:v>29.1</c:v>
                </c:pt>
                <c:pt idx="411">
                  <c:v>27.4</c:v>
                </c:pt>
                <c:pt idx="412">
                  <c:v>71.349999999999994</c:v>
                </c:pt>
                <c:pt idx="413">
                  <c:v>55</c:v>
                </c:pt>
                <c:pt idx="414">
                  <c:v>34.35</c:v>
                </c:pt>
                <c:pt idx="415">
                  <c:v>33.6</c:v>
                </c:pt>
                <c:pt idx="416">
                  <c:v>34.35</c:v>
                </c:pt>
                <c:pt idx="417">
                  <c:v>59.25</c:v>
                </c:pt>
                <c:pt idx="418">
                  <c:v>53.25</c:v>
                </c:pt>
                <c:pt idx="419">
                  <c:v>35.75</c:v>
                </c:pt>
                <c:pt idx="420">
                  <c:v>83.85</c:v>
                </c:pt>
                <c:pt idx="421">
                  <c:v>32</c:v>
                </c:pt>
                <c:pt idx="422">
                  <c:v>39.549999999999997</c:v>
                </c:pt>
                <c:pt idx="423">
                  <c:v>50.6</c:v>
                </c:pt>
                <c:pt idx="424">
                  <c:v>51.3</c:v>
                </c:pt>
                <c:pt idx="425">
                  <c:v>26.95</c:v>
                </c:pt>
                <c:pt idx="426">
                  <c:v>46.1</c:v>
                </c:pt>
                <c:pt idx="427">
                  <c:v>63.45</c:v>
                </c:pt>
                <c:pt idx="428">
                  <c:v>49</c:v>
                </c:pt>
                <c:pt idx="429">
                  <c:v>52.25</c:v>
                </c:pt>
                <c:pt idx="430">
                  <c:v>29.1</c:v>
                </c:pt>
                <c:pt idx="431">
                  <c:v>30.35</c:v>
                </c:pt>
                <c:pt idx="432">
                  <c:v>73.5</c:v>
                </c:pt>
                <c:pt idx="433">
                  <c:v>60.2</c:v>
                </c:pt>
                <c:pt idx="434">
                  <c:v>30.15</c:v>
                </c:pt>
                <c:pt idx="435">
                  <c:v>55.8</c:v>
                </c:pt>
                <c:pt idx="436">
                  <c:v>54</c:v>
                </c:pt>
                <c:pt idx="437">
                  <c:v>72.900000000000006</c:v>
                </c:pt>
                <c:pt idx="438">
                  <c:v>26.35</c:v>
                </c:pt>
                <c:pt idx="439">
                  <c:v>12.6</c:v>
                </c:pt>
                <c:pt idx="440">
                  <c:v>30.15</c:v>
                </c:pt>
                <c:pt idx="441">
                  <c:v>57.7</c:v>
                </c:pt>
                <c:pt idx="442">
                  <c:v>55.7</c:v>
                </c:pt>
                <c:pt idx="443">
                  <c:v>54.95</c:v>
                </c:pt>
                <c:pt idx="444">
                  <c:v>26.2</c:v>
                </c:pt>
                <c:pt idx="445">
                  <c:v>49.35</c:v>
                </c:pt>
                <c:pt idx="446">
                  <c:v>71.099999999999994</c:v>
                </c:pt>
                <c:pt idx="447">
                  <c:v>42.9</c:v>
                </c:pt>
                <c:pt idx="448">
                  <c:v>62.55</c:v>
                </c:pt>
                <c:pt idx="449">
                  <c:v>35.15</c:v>
                </c:pt>
                <c:pt idx="450">
                  <c:v>33.450000000000003</c:v>
                </c:pt>
                <c:pt idx="451">
                  <c:v>47.9</c:v>
                </c:pt>
                <c:pt idx="452">
                  <c:v>52.45</c:v>
                </c:pt>
                <c:pt idx="453">
                  <c:v>33.9</c:v>
                </c:pt>
                <c:pt idx="454">
                  <c:v>84.7</c:v>
                </c:pt>
                <c:pt idx="455">
                  <c:v>30.5</c:v>
                </c:pt>
                <c:pt idx="456">
                  <c:v>33.15</c:v>
                </c:pt>
                <c:pt idx="457">
                  <c:v>17.899999999999999</c:v>
                </c:pt>
                <c:pt idx="458">
                  <c:v>42.95</c:v>
                </c:pt>
                <c:pt idx="459">
                  <c:v>21.25</c:v>
                </c:pt>
                <c:pt idx="460">
                  <c:v>52.85</c:v>
                </c:pt>
                <c:pt idx="461">
                  <c:v>34.950000000000003</c:v>
                </c:pt>
                <c:pt idx="462">
                  <c:v>31.6</c:v>
                </c:pt>
                <c:pt idx="463">
                  <c:v>62</c:v>
                </c:pt>
                <c:pt idx="464">
                  <c:v>41.35</c:v>
                </c:pt>
                <c:pt idx="465">
                  <c:v>37.299999999999997</c:v>
                </c:pt>
                <c:pt idx="466">
                  <c:v>64.8</c:v>
                </c:pt>
                <c:pt idx="467">
                  <c:v>30.9</c:v>
                </c:pt>
                <c:pt idx="468">
                  <c:v>66.400000000000006</c:v>
                </c:pt>
                <c:pt idx="469">
                  <c:v>32.1</c:v>
                </c:pt>
                <c:pt idx="470">
                  <c:v>54.95</c:v>
                </c:pt>
                <c:pt idx="471">
                  <c:v>30.45</c:v>
                </c:pt>
                <c:pt idx="472">
                  <c:v>37.450000000000003</c:v>
                </c:pt>
                <c:pt idx="473">
                  <c:v>50.45</c:v>
                </c:pt>
                <c:pt idx="474">
                  <c:v>63.55</c:v>
                </c:pt>
                <c:pt idx="475">
                  <c:v>54.15</c:v>
                </c:pt>
                <c:pt idx="476">
                  <c:v>72.8</c:v>
                </c:pt>
                <c:pt idx="477">
                  <c:v>49.35</c:v>
                </c:pt>
                <c:pt idx="478">
                  <c:v>50.75</c:v>
                </c:pt>
                <c:pt idx="479">
                  <c:v>33.35</c:v>
                </c:pt>
                <c:pt idx="480">
                  <c:v>35.049999999999997</c:v>
                </c:pt>
                <c:pt idx="481">
                  <c:v>67.849999999999994</c:v>
                </c:pt>
                <c:pt idx="482">
                  <c:v>56.45</c:v>
                </c:pt>
                <c:pt idx="483">
                  <c:v>40.4</c:v>
                </c:pt>
                <c:pt idx="484">
                  <c:v>40.25</c:v>
                </c:pt>
                <c:pt idx="485">
                  <c:v>26.5</c:v>
                </c:pt>
                <c:pt idx="486">
                  <c:v>43.65</c:v>
                </c:pt>
                <c:pt idx="487">
                  <c:v>38.35</c:v>
                </c:pt>
                <c:pt idx="488">
                  <c:v>32.5</c:v>
                </c:pt>
                <c:pt idx="489">
                  <c:v>34.200000000000003</c:v>
                </c:pt>
                <c:pt idx="490">
                  <c:v>34.4</c:v>
                </c:pt>
                <c:pt idx="491">
                  <c:v>53.5</c:v>
                </c:pt>
                <c:pt idx="492">
                  <c:v>30.85</c:v>
                </c:pt>
                <c:pt idx="493">
                  <c:v>40.950000000000003</c:v>
                </c:pt>
                <c:pt idx="494">
                  <c:v>59.8</c:v>
                </c:pt>
                <c:pt idx="495">
                  <c:v>58.1</c:v>
                </c:pt>
                <c:pt idx="496">
                  <c:v>42.6</c:v>
                </c:pt>
                <c:pt idx="497">
                  <c:v>44.2</c:v>
                </c:pt>
                <c:pt idx="498">
                  <c:v>69.400000000000006</c:v>
                </c:pt>
                <c:pt idx="499">
                  <c:v>40.700000000000003</c:v>
                </c:pt>
              </c:numCache>
            </c:numRef>
          </c:yVal>
          <c:smooth val="0"/>
          <c:extLst>
            <c:ext xmlns:c16="http://schemas.microsoft.com/office/drawing/2014/chart" uri="{C3380CC4-5D6E-409C-BE32-E72D297353CC}">
              <c16:uniqueId val="{00000002-3FBD-4550-9CC1-830AAFDA50EF}"/>
            </c:ext>
          </c:extLst>
        </c:ser>
        <c:dLbls>
          <c:showLegendKey val="0"/>
          <c:showVal val="0"/>
          <c:showCatName val="0"/>
          <c:showSerName val="0"/>
          <c:showPercent val="0"/>
          <c:showBubbleSize val="0"/>
        </c:dLbls>
        <c:axId val="194929232"/>
        <c:axId val="194929712"/>
        <c:extLst>
          <c:ext xmlns:c15="http://schemas.microsoft.com/office/drawing/2012/chart" uri="{02D57815-91ED-43cb-92C2-25804820EDAC}">
            <c15:filteredScatterSeries>
              <c15:ser>
                <c:idx val="0"/>
                <c:order val="0"/>
                <c:tx>
                  <c:strRef>
                    <c:extLst>
                      <c:ext uri="{02D57815-91ED-43cb-92C2-25804820EDAC}">
                        <c15:formulaRef>
                          <c15:sqref>User_data!$D$2</c15:sqref>
                        </c15:formulaRef>
                      </c:ext>
                    </c:extLst>
                    <c:strCache>
                      <c:ptCount val="1"/>
                      <c:pt idx="0">
                        <c:v>Likes</c:v>
                      </c:pt>
                    </c:strCache>
                  </c:strRef>
                </c:tx>
                <c:spPr>
                  <a:ln w="38100" cap="rnd">
                    <a:noFill/>
                    <a:round/>
                  </a:ln>
                  <a:effectLst/>
                </c:spPr>
                <c:marker>
                  <c:symbol val="circle"/>
                  <c:size val="5"/>
                  <c:spPr>
                    <a:solidFill>
                      <a:schemeClr val="accent1"/>
                    </a:solidFill>
                    <a:ln w="9525">
                      <a:solidFill>
                        <a:schemeClr val="accent1"/>
                      </a:solidFill>
                    </a:ln>
                    <a:effectLst/>
                  </c:spPr>
                </c:marker>
                <c:xVal>
                  <c:multiLvlStrRef>
                    <c:extLst>
                      <c:ext uri="{02D57815-91ED-43cb-92C2-25804820EDAC}">
                        <c15:formulaRef>
                          <c15:sqref>User_data!$A$3:$C$502</c15:sqref>
                        </c15:formulaRef>
                      </c:ext>
                    </c:extLst>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extLst>
                      <c:ext uri="{02D57815-91ED-43cb-92C2-25804820EDAC}">
                        <c15:formulaRef>
                          <c15:sqref>User_data!$D$3:$D$502</c15:sqref>
                        </c15:formulaRef>
                      </c:ext>
                    </c:extLst>
                    <c:numCache>
                      <c:formatCode>General</c:formatCode>
                      <c:ptCount val="500"/>
                      <c:pt idx="0">
                        <c:v>34</c:v>
                      </c:pt>
                      <c:pt idx="1">
                        <c:v>7</c:v>
                      </c:pt>
                      <c:pt idx="2">
                        <c:v>24</c:v>
                      </c:pt>
                      <c:pt idx="3">
                        <c:v>39</c:v>
                      </c:pt>
                      <c:pt idx="4">
                        <c:v>3</c:v>
                      </c:pt>
                      <c:pt idx="5">
                        <c:v>35</c:v>
                      </c:pt>
                      <c:pt idx="6">
                        <c:v>10</c:v>
                      </c:pt>
                      <c:pt idx="7">
                        <c:v>23</c:v>
                      </c:pt>
                      <c:pt idx="8">
                        <c:v>43</c:v>
                      </c:pt>
                      <c:pt idx="9">
                        <c:v>39</c:v>
                      </c:pt>
                      <c:pt idx="10">
                        <c:v>33</c:v>
                      </c:pt>
                      <c:pt idx="11">
                        <c:v>20</c:v>
                      </c:pt>
                      <c:pt idx="12">
                        <c:v>36</c:v>
                      </c:pt>
                      <c:pt idx="13">
                        <c:v>1</c:v>
                      </c:pt>
                      <c:pt idx="14">
                        <c:v>11</c:v>
                      </c:pt>
                      <c:pt idx="15">
                        <c:v>9</c:v>
                      </c:pt>
                      <c:pt idx="16">
                        <c:v>9</c:v>
                      </c:pt>
                      <c:pt idx="17">
                        <c:v>45</c:v>
                      </c:pt>
                      <c:pt idx="18">
                        <c:v>24</c:v>
                      </c:pt>
                      <c:pt idx="19">
                        <c:v>32</c:v>
                      </c:pt>
                      <c:pt idx="20">
                        <c:v>3</c:v>
                      </c:pt>
                      <c:pt idx="21">
                        <c:v>5</c:v>
                      </c:pt>
                      <c:pt idx="22">
                        <c:v>44</c:v>
                      </c:pt>
                      <c:pt idx="23">
                        <c:v>35</c:v>
                      </c:pt>
                      <c:pt idx="24">
                        <c:v>1</c:v>
                      </c:pt>
                      <c:pt idx="25">
                        <c:v>50</c:v>
                      </c:pt>
                      <c:pt idx="26">
                        <c:v>30</c:v>
                      </c:pt>
                      <c:pt idx="27">
                        <c:v>25</c:v>
                      </c:pt>
                      <c:pt idx="28">
                        <c:v>13</c:v>
                      </c:pt>
                      <c:pt idx="29">
                        <c:v>26</c:v>
                      </c:pt>
                      <c:pt idx="30">
                        <c:v>42</c:v>
                      </c:pt>
                      <c:pt idx="31">
                        <c:v>35</c:v>
                      </c:pt>
                      <c:pt idx="32">
                        <c:v>14</c:v>
                      </c:pt>
                      <c:pt idx="33">
                        <c:v>16</c:v>
                      </c:pt>
                      <c:pt idx="34">
                        <c:v>48</c:v>
                      </c:pt>
                      <c:pt idx="35">
                        <c:v>20</c:v>
                      </c:pt>
                      <c:pt idx="36">
                        <c:v>6</c:v>
                      </c:pt>
                      <c:pt idx="37">
                        <c:v>50</c:v>
                      </c:pt>
                      <c:pt idx="38">
                        <c:v>3</c:v>
                      </c:pt>
                      <c:pt idx="39">
                        <c:v>49</c:v>
                      </c:pt>
                      <c:pt idx="40">
                        <c:v>9</c:v>
                      </c:pt>
                      <c:pt idx="41">
                        <c:v>29</c:v>
                      </c:pt>
                      <c:pt idx="42">
                        <c:v>27</c:v>
                      </c:pt>
                      <c:pt idx="43">
                        <c:v>17</c:v>
                      </c:pt>
                      <c:pt idx="44">
                        <c:v>0</c:v>
                      </c:pt>
                      <c:pt idx="45">
                        <c:v>36</c:v>
                      </c:pt>
                      <c:pt idx="46">
                        <c:v>18</c:v>
                      </c:pt>
                      <c:pt idx="47">
                        <c:v>39</c:v>
                      </c:pt>
                      <c:pt idx="48">
                        <c:v>13</c:v>
                      </c:pt>
                      <c:pt idx="49">
                        <c:v>28</c:v>
                      </c:pt>
                      <c:pt idx="50">
                        <c:v>6</c:v>
                      </c:pt>
                      <c:pt idx="51">
                        <c:v>33</c:v>
                      </c:pt>
                      <c:pt idx="52">
                        <c:v>1</c:v>
                      </c:pt>
                      <c:pt idx="53">
                        <c:v>35</c:v>
                      </c:pt>
                      <c:pt idx="54">
                        <c:v>33</c:v>
                      </c:pt>
                      <c:pt idx="55">
                        <c:v>4</c:v>
                      </c:pt>
                      <c:pt idx="56">
                        <c:v>12</c:v>
                      </c:pt>
                      <c:pt idx="57">
                        <c:v>50</c:v>
                      </c:pt>
                      <c:pt idx="58">
                        <c:v>41</c:v>
                      </c:pt>
                      <c:pt idx="59">
                        <c:v>40</c:v>
                      </c:pt>
                      <c:pt idx="60">
                        <c:v>20</c:v>
                      </c:pt>
                      <c:pt idx="61">
                        <c:v>32</c:v>
                      </c:pt>
                      <c:pt idx="62">
                        <c:v>8</c:v>
                      </c:pt>
                      <c:pt idx="63">
                        <c:v>10</c:v>
                      </c:pt>
                      <c:pt idx="64">
                        <c:v>44</c:v>
                      </c:pt>
                      <c:pt idx="65">
                        <c:v>13</c:v>
                      </c:pt>
                      <c:pt idx="66">
                        <c:v>39</c:v>
                      </c:pt>
                      <c:pt idx="67">
                        <c:v>44</c:v>
                      </c:pt>
                      <c:pt idx="68">
                        <c:v>1</c:v>
                      </c:pt>
                      <c:pt idx="69">
                        <c:v>8</c:v>
                      </c:pt>
                      <c:pt idx="70">
                        <c:v>43</c:v>
                      </c:pt>
                      <c:pt idx="71">
                        <c:v>27</c:v>
                      </c:pt>
                      <c:pt idx="72">
                        <c:v>33</c:v>
                      </c:pt>
                      <c:pt idx="73">
                        <c:v>5</c:v>
                      </c:pt>
                      <c:pt idx="74">
                        <c:v>36</c:v>
                      </c:pt>
                      <c:pt idx="75">
                        <c:v>10</c:v>
                      </c:pt>
                      <c:pt idx="76">
                        <c:v>40</c:v>
                      </c:pt>
                      <c:pt idx="77">
                        <c:v>34</c:v>
                      </c:pt>
                      <c:pt idx="78">
                        <c:v>24</c:v>
                      </c:pt>
                      <c:pt idx="79">
                        <c:v>50</c:v>
                      </c:pt>
                      <c:pt idx="80">
                        <c:v>39</c:v>
                      </c:pt>
                      <c:pt idx="81">
                        <c:v>1</c:v>
                      </c:pt>
                      <c:pt idx="82">
                        <c:v>9</c:v>
                      </c:pt>
                      <c:pt idx="83">
                        <c:v>23</c:v>
                      </c:pt>
                      <c:pt idx="84">
                        <c:v>25</c:v>
                      </c:pt>
                      <c:pt idx="85">
                        <c:v>4</c:v>
                      </c:pt>
                      <c:pt idx="86">
                        <c:v>19</c:v>
                      </c:pt>
                      <c:pt idx="87">
                        <c:v>21</c:v>
                      </c:pt>
                      <c:pt idx="88">
                        <c:v>41</c:v>
                      </c:pt>
                      <c:pt idx="89">
                        <c:v>5</c:v>
                      </c:pt>
                      <c:pt idx="90">
                        <c:v>35</c:v>
                      </c:pt>
                      <c:pt idx="91">
                        <c:v>36</c:v>
                      </c:pt>
                      <c:pt idx="92">
                        <c:v>25</c:v>
                      </c:pt>
                      <c:pt idx="93">
                        <c:v>10</c:v>
                      </c:pt>
                      <c:pt idx="94">
                        <c:v>5</c:v>
                      </c:pt>
                      <c:pt idx="95">
                        <c:v>19</c:v>
                      </c:pt>
                      <c:pt idx="96">
                        <c:v>29</c:v>
                      </c:pt>
                      <c:pt idx="97">
                        <c:v>30</c:v>
                      </c:pt>
                      <c:pt idx="98">
                        <c:v>13</c:v>
                      </c:pt>
                      <c:pt idx="99">
                        <c:v>28</c:v>
                      </c:pt>
                      <c:pt idx="100">
                        <c:v>30</c:v>
                      </c:pt>
                      <c:pt idx="101">
                        <c:v>10</c:v>
                      </c:pt>
                      <c:pt idx="102">
                        <c:v>37</c:v>
                      </c:pt>
                      <c:pt idx="103">
                        <c:v>21</c:v>
                      </c:pt>
                      <c:pt idx="104">
                        <c:v>10</c:v>
                      </c:pt>
                      <c:pt idx="105">
                        <c:v>17</c:v>
                      </c:pt>
                      <c:pt idx="106">
                        <c:v>46</c:v>
                      </c:pt>
                      <c:pt idx="107">
                        <c:v>48</c:v>
                      </c:pt>
                      <c:pt idx="108">
                        <c:v>50</c:v>
                      </c:pt>
                      <c:pt idx="109">
                        <c:v>45</c:v>
                      </c:pt>
                      <c:pt idx="110">
                        <c:v>26</c:v>
                      </c:pt>
                      <c:pt idx="111">
                        <c:v>35</c:v>
                      </c:pt>
                      <c:pt idx="112">
                        <c:v>46</c:v>
                      </c:pt>
                      <c:pt idx="113">
                        <c:v>41</c:v>
                      </c:pt>
                      <c:pt idx="114">
                        <c:v>3</c:v>
                      </c:pt>
                      <c:pt idx="115">
                        <c:v>44</c:v>
                      </c:pt>
                      <c:pt idx="116">
                        <c:v>8</c:v>
                      </c:pt>
                      <c:pt idx="117">
                        <c:v>33</c:v>
                      </c:pt>
                      <c:pt idx="118">
                        <c:v>19</c:v>
                      </c:pt>
                      <c:pt idx="119">
                        <c:v>12</c:v>
                      </c:pt>
                      <c:pt idx="120">
                        <c:v>36</c:v>
                      </c:pt>
                      <c:pt idx="121">
                        <c:v>14</c:v>
                      </c:pt>
                      <c:pt idx="122">
                        <c:v>1</c:v>
                      </c:pt>
                      <c:pt idx="123">
                        <c:v>38</c:v>
                      </c:pt>
                      <c:pt idx="124">
                        <c:v>13</c:v>
                      </c:pt>
                      <c:pt idx="125">
                        <c:v>29</c:v>
                      </c:pt>
                      <c:pt idx="126">
                        <c:v>39</c:v>
                      </c:pt>
                      <c:pt idx="127">
                        <c:v>20</c:v>
                      </c:pt>
                      <c:pt idx="128">
                        <c:v>14</c:v>
                      </c:pt>
                      <c:pt idx="129">
                        <c:v>8</c:v>
                      </c:pt>
                      <c:pt idx="130">
                        <c:v>11</c:v>
                      </c:pt>
                      <c:pt idx="131">
                        <c:v>2</c:v>
                      </c:pt>
                      <c:pt idx="132">
                        <c:v>6</c:v>
                      </c:pt>
                      <c:pt idx="133">
                        <c:v>32</c:v>
                      </c:pt>
                      <c:pt idx="134">
                        <c:v>10</c:v>
                      </c:pt>
                      <c:pt idx="135">
                        <c:v>31</c:v>
                      </c:pt>
                      <c:pt idx="136">
                        <c:v>21</c:v>
                      </c:pt>
                      <c:pt idx="137">
                        <c:v>1</c:v>
                      </c:pt>
                      <c:pt idx="138">
                        <c:v>29</c:v>
                      </c:pt>
                      <c:pt idx="139">
                        <c:v>0</c:v>
                      </c:pt>
                      <c:pt idx="140">
                        <c:v>25</c:v>
                      </c:pt>
                      <c:pt idx="141">
                        <c:v>50</c:v>
                      </c:pt>
                      <c:pt idx="142">
                        <c:v>6</c:v>
                      </c:pt>
                      <c:pt idx="143">
                        <c:v>29</c:v>
                      </c:pt>
                      <c:pt idx="144">
                        <c:v>9</c:v>
                      </c:pt>
                      <c:pt idx="145">
                        <c:v>37</c:v>
                      </c:pt>
                      <c:pt idx="146">
                        <c:v>27</c:v>
                      </c:pt>
                      <c:pt idx="147">
                        <c:v>25</c:v>
                      </c:pt>
                      <c:pt idx="148">
                        <c:v>23</c:v>
                      </c:pt>
                      <c:pt idx="149">
                        <c:v>42</c:v>
                      </c:pt>
                      <c:pt idx="150">
                        <c:v>29</c:v>
                      </c:pt>
                      <c:pt idx="151">
                        <c:v>39</c:v>
                      </c:pt>
                      <c:pt idx="152">
                        <c:v>8</c:v>
                      </c:pt>
                      <c:pt idx="153">
                        <c:v>49</c:v>
                      </c:pt>
                      <c:pt idx="154">
                        <c:v>22</c:v>
                      </c:pt>
                      <c:pt idx="155">
                        <c:v>46</c:v>
                      </c:pt>
                      <c:pt idx="156">
                        <c:v>11</c:v>
                      </c:pt>
                      <c:pt idx="157">
                        <c:v>25</c:v>
                      </c:pt>
                      <c:pt idx="158">
                        <c:v>1</c:v>
                      </c:pt>
                      <c:pt idx="159">
                        <c:v>48</c:v>
                      </c:pt>
                      <c:pt idx="160">
                        <c:v>24</c:v>
                      </c:pt>
                      <c:pt idx="161">
                        <c:v>29</c:v>
                      </c:pt>
                      <c:pt idx="162">
                        <c:v>48</c:v>
                      </c:pt>
                      <c:pt idx="163">
                        <c:v>13</c:v>
                      </c:pt>
                      <c:pt idx="164">
                        <c:v>29</c:v>
                      </c:pt>
                      <c:pt idx="165">
                        <c:v>47</c:v>
                      </c:pt>
                      <c:pt idx="166">
                        <c:v>50</c:v>
                      </c:pt>
                      <c:pt idx="167">
                        <c:v>20</c:v>
                      </c:pt>
                      <c:pt idx="168">
                        <c:v>20</c:v>
                      </c:pt>
                      <c:pt idx="169">
                        <c:v>7</c:v>
                      </c:pt>
                      <c:pt idx="170">
                        <c:v>37</c:v>
                      </c:pt>
                      <c:pt idx="171">
                        <c:v>22</c:v>
                      </c:pt>
                      <c:pt idx="172">
                        <c:v>46</c:v>
                      </c:pt>
                      <c:pt idx="173">
                        <c:v>23</c:v>
                      </c:pt>
                      <c:pt idx="174">
                        <c:v>22</c:v>
                      </c:pt>
                      <c:pt idx="175">
                        <c:v>46</c:v>
                      </c:pt>
                      <c:pt idx="176">
                        <c:v>19</c:v>
                      </c:pt>
                      <c:pt idx="177">
                        <c:v>31</c:v>
                      </c:pt>
                      <c:pt idx="178">
                        <c:v>49</c:v>
                      </c:pt>
                      <c:pt idx="179">
                        <c:v>21</c:v>
                      </c:pt>
                      <c:pt idx="180">
                        <c:v>47</c:v>
                      </c:pt>
                      <c:pt idx="181">
                        <c:v>19</c:v>
                      </c:pt>
                      <c:pt idx="182">
                        <c:v>43</c:v>
                      </c:pt>
                      <c:pt idx="183">
                        <c:v>34</c:v>
                      </c:pt>
                      <c:pt idx="184">
                        <c:v>50</c:v>
                      </c:pt>
                      <c:pt idx="185">
                        <c:v>33</c:v>
                      </c:pt>
                      <c:pt idx="186">
                        <c:v>42</c:v>
                      </c:pt>
                      <c:pt idx="187">
                        <c:v>39</c:v>
                      </c:pt>
                      <c:pt idx="188">
                        <c:v>3</c:v>
                      </c:pt>
                      <c:pt idx="189">
                        <c:v>22</c:v>
                      </c:pt>
                      <c:pt idx="190">
                        <c:v>9</c:v>
                      </c:pt>
                      <c:pt idx="191">
                        <c:v>21</c:v>
                      </c:pt>
                      <c:pt idx="192">
                        <c:v>3</c:v>
                      </c:pt>
                      <c:pt idx="193">
                        <c:v>0</c:v>
                      </c:pt>
                      <c:pt idx="194">
                        <c:v>47</c:v>
                      </c:pt>
                      <c:pt idx="195">
                        <c:v>8</c:v>
                      </c:pt>
                      <c:pt idx="196">
                        <c:v>1</c:v>
                      </c:pt>
                      <c:pt idx="197">
                        <c:v>44</c:v>
                      </c:pt>
                      <c:pt idx="198">
                        <c:v>42</c:v>
                      </c:pt>
                      <c:pt idx="199">
                        <c:v>20</c:v>
                      </c:pt>
                      <c:pt idx="200">
                        <c:v>10</c:v>
                      </c:pt>
                      <c:pt idx="201">
                        <c:v>23</c:v>
                      </c:pt>
                      <c:pt idx="202">
                        <c:v>39</c:v>
                      </c:pt>
                      <c:pt idx="203">
                        <c:v>35</c:v>
                      </c:pt>
                      <c:pt idx="204">
                        <c:v>39</c:v>
                      </c:pt>
                      <c:pt idx="205">
                        <c:v>26</c:v>
                      </c:pt>
                      <c:pt idx="206">
                        <c:v>3</c:v>
                      </c:pt>
                      <c:pt idx="207">
                        <c:v>18</c:v>
                      </c:pt>
                      <c:pt idx="208">
                        <c:v>22</c:v>
                      </c:pt>
                      <c:pt idx="209">
                        <c:v>13</c:v>
                      </c:pt>
                      <c:pt idx="210">
                        <c:v>30</c:v>
                      </c:pt>
                      <c:pt idx="211">
                        <c:v>23</c:v>
                      </c:pt>
                      <c:pt idx="212">
                        <c:v>50</c:v>
                      </c:pt>
                      <c:pt idx="213">
                        <c:v>35</c:v>
                      </c:pt>
                      <c:pt idx="214">
                        <c:v>43</c:v>
                      </c:pt>
                      <c:pt idx="215">
                        <c:v>28</c:v>
                      </c:pt>
                      <c:pt idx="216">
                        <c:v>36</c:v>
                      </c:pt>
                      <c:pt idx="217">
                        <c:v>13</c:v>
                      </c:pt>
                      <c:pt idx="218">
                        <c:v>19</c:v>
                      </c:pt>
                      <c:pt idx="219">
                        <c:v>37</c:v>
                      </c:pt>
                      <c:pt idx="220">
                        <c:v>28</c:v>
                      </c:pt>
                      <c:pt idx="221">
                        <c:v>40</c:v>
                      </c:pt>
                      <c:pt idx="222">
                        <c:v>19</c:v>
                      </c:pt>
                      <c:pt idx="223">
                        <c:v>33</c:v>
                      </c:pt>
                      <c:pt idx="224">
                        <c:v>32</c:v>
                      </c:pt>
                      <c:pt idx="225">
                        <c:v>29</c:v>
                      </c:pt>
                      <c:pt idx="226">
                        <c:v>5</c:v>
                      </c:pt>
                      <c:pt idx="227">
                        <c:v>18</c:v>
                      </c:pt>
                      <c:pt idx="228">
                        <c:v>13</c:v>
                      </c:pt>
                      <c:pt idx="229">
                        <c:v>0</c:v>
                      </c:pt>
                      <c:pt idx="230">
                        <c:v>4</c:v>
                      </c:pt>
                      <c:pt idx="231">
                        <c:v>6</c:v>
                      </c:pt>
                      <c:pt idx="232">
                        <c:v>22</c:v>
                      </c:pt>
                      <c:pt idx="233">
                        <c:v>18</c:v>
                      </c:pt>
                      <c:pt idx="234">
                        <c:v>30</c:v>
                      </c:pt>
                      <c:pt idx="235">
                        <c:v>37</c:v>
                      </c:pt>
                      <c:pt idx="236">
                        <c:v>39</c:v>
                      </c:pt>
                      <c:pt idx="237">
                        <c:v>44</c:v>
                      </c:pt>
                      <c:pt idx="238">
                        <c:v>48</c:v>
                      </c:pt>
                      <c:pt idx="239">
                        <c:v>12</c:v>
                      </c:pt>
                      <c:pt idx="240">
                        <c:v>49</c:v>
                      </c:pt>
                      <c:pt idx="241">
                        <c:v>50</c:v>
                      </c:pt>
                      <c:pt idx="242">
                        <c:v>50</c:v>
                      </c:pt>
                      <c:pt idx="243">
                        <c:v>36</c:v>
                      </c:pt>
                      <c:pt idx="244">
                        <c:v>39</c:v>
                      </c:pt>
                      <c:pt idx="245">
                        <c:v>23</c:v>
                      </c:pt>
                      <c:pt idx="246">
                        <c:v>0</c:v>
                      </c:pt>
                      <c:pt idx="247">
                        <c:v>19</c:v>
                      </c:pt>
                      <c:pt idx="248">
                        <c:v>21</c:v>
                      </c:pt>
                      <c:pt idx="249">
                        <c:v>26</c:v>
                      </c:pt>
                      <c:pt idx="250">
                        <c:v>50</c:v>
                      </c:pt>
                      <c:pt idx="251">
                        <c:v>21</c:v>
                      </c:pt>
                      <c:pt idx="252">
                        <c:v>4</c:v>
                      </c:pt>
                      <c:pt idx="253">
                        <c:v>29</c:v>
                      </c:pt>
                      <c:pt idx="254">
                        <c:v>14</c:v>
                      </c:pt>
                      <c:pt idx="255">
                        <c:v>5</c:v>
                      </c:pt>
                      <c:pt idx="256">
                        <c:v>11</c:v>
                      </c:pt>
                      <c:pt idx="257">
                        <c:v>35</c:v>
                      </c:pt>
                      <c:pt idx="258">
                        <c:v>9</c:v>
                      </c:pt>
                      <c:pt idx="259">
                        <c:v>18</c:v>
                      </c:pt>
                      <c:pt idx="260">
                        <c:v>28</c:v>
                      </c:pt>
                      <c:pt idx="261">
                        <c:v>50</c:v>
                      </c:pt>
                      <c:pt idx="262">
                        <c:v>0</c:v>
                      </c:pt>
                      <c:pt idx="263">
                        <c:v>24</c:v>
                      </c:pt>
                      <c:pt idx="264">
                        <c:v>4</c:v>
                      </c:pt>
                      <c:pt idx="265">
                        <c:v>30</c:v>
                      </c:pt>
                      <c:pt idx="266">
                        <c:v>46</c:v>
                      </c:pt>
                      <c:pt idx="267">
                        <c:v>7</c:v>
                      </c:pt>
                      <c:pt idx="268">
                        <c:v>46</c:v>
                      </c:pt>
                      <c:pt idx="269">
                        <c:v>1</c:v>
                      </c:pt>
                      <c:pt idx="270">
                        <c:v>27</c:v>
                      </c:pt>
                      <c:pt idx="271">
                        <c:v>46</c:v>
                      </c:pt>
                      <c:pt idx="272">
                        <c:v>16</c:v>
                      </c:pt>
                      <c:pt idx="273">
                        <c:v>41</c:v>
                      </c:pt>
                      <c:pt idx="274">
                        <c:v>10</c:v>
                      </c:pt>
                      <c:pt idx="275">
                        <c:v>21</c:v>
                      </c:pt>
                      <c:pt idx="276">
                        <c:v>43</c:v>
                      </c:pt>
                      <c:pt idx="277">
                        <c:v>33</c:v>
                      </c:pt>
                      <c:pt idx="278">
                        <c:v>26</c:v>
                      </c:pt>
                      <c:pt idx="279">
                        <c:v>45</c:v>
                      </c:pt>
                      <c:pt idx="280">
                        <c:v>31</c:v>
                      </c:pt>
                      <c:pt idx="281">
                        <c:v>2</c:v>
                      </c:pt>
                      <c:pt idx="282">
                        <c:v>34</c:v>
                      </c:pt>
                      <c:pt idx="283">
                        <c:v>22</c:v>
                      </c:pt>
                      <c:pt idx="284">
                        <c:v>0</c:v>
                      </c:pt>
                      <c:pt idx="285">
                        <c:v>10</c:v>
                      </c:pt>
                      <c:pt idx="286">
                        <c:v>30</c:v>
                      </c:pt>
                      <c:pt idx="287">
                        <c:v>38</c:v>
                      </c:pt>
                      <c:pt idx="288">
                        <c:v>14</c:v>
                      </c:pt>
                      <c:pt idx="289">
                        <c:v>26</c:v>
                      </c:pt>
                      <c:pt idx="290">
                        <c:v>28</c:v>
                      </c:pt>
                      <c:pt idx="291">
                        <c:v>32</c:v>
                      </c:pt>
                      <c:pt idx="292">
                        <c:v>36</c:v>
                      </c:pt>
                      <c:pt idx="293">
                        <c:v>20</c:v>
                      </c:pt>
                      <c:pt idx="294">
                        <c:v>24</c:v>
                      </c:pt>
                      <c:pt idx="295">
                        <c:v>39</c:v>
                      </c:pt>
                      <c:pt idx="296">
                        <c:v>8</c:v>
                      </c:pt>
                      <c:pt idx="297">
                        <c:v>33</c:v>
                      </c:pt>
                      <c:pt idx="298">
                        <c:v>13</c:v>
                      </c:pt>
                      <c:pt idx="299">
                        <c:v>17</c:v>
                      </c:pt>
                      <c:pt idx="300">
                        <c:v>14</c:v>
                      </c:pt>
                      <c:pt idx="301">
                        <c:v>32</c:v>
                      </c:pt>
                      <c:pt idx="302">
                        <c:v>21</c:v>
                      </c:pt>
                      <c:pt idx="303">
                        <c:v>9</c:v>
                      </c:pt>
                      <c:pt idx="304">
                        <c:v>39</c:v>
                      </c:pt>
                      <c:pt idx="305">
                        <c:v>11</c:v>
                      </c:pt>
                      <c:pt idx="306">
                        <c:v>7</c:v>
                      </c:pt>
                      <c:pt idx="307">
                        <c:v>48</c:v>
                      </c:pt>
                      <c:pt idx="308">
                        <c:v>8</c:v>
                      </c:pt>
                      <c:pt idx="309">
                        <c:v>21</c:v>
                      </c:pt>
                      <c:pt idx="310">
                        <c:v>15</c:v>
                      </c:pt>
                      <c:pt idx="311">
                        <c:v>20</c:v>
                      </c:pt>
                      <c:pt idx="312">
                        <c:v>16</c:v>
                      </c:pt>
                      <c:pt idx="313">
                        <c:v>17</c:v>
                      </c:pt>
                      <c:pt idx="314">
                        <c:v>6</c:v>
                      </c:pt>
                      <c:pt idx="315">
                        <c:v>27</c:v>
                      </c:pt>
                      <c:pt idx="316">
                        <c:v>4</c:v>
                      </c:pt>
                      <c:pt idx="317">
                        <c:v>7</c:v>
                      </c:pt>
                      <c:pt idx="318">
                        <c:v>46</c:v>
                      </c:pt>
                      <c:pt idx="319">
                        <c:v>42</c:v>
                      </c:pt>
                      <c:pt idx="320">
                        <c:v>43</c:v>
                      </c:pt>
                      <c:pt idx="321">
                        <c:v>45</c:v>
                      </c:pt>
                      <c:pt idx="322">
                        <c:v>25</c:v>
                      </c:pt>
                      <c:pt idx="323">
                        <c:v>48</c:v>
                      </c:pt>
                      <c:pt idx="324">
                        <c:v>18</c:v>
                      </c:pt>
                      <c:pt idx="325">
                        <c:v>0</c:v>
                      </c:pt>
                      <c:pt idx="326">
                        <c:v>29</c:v>
                      </c:pt>
                      <c:pt idx="327">
                        <c:v>22</c:v>
                      </c:pt>
                      <c:pt idx="328">
                        <c:v>49</c:v>
                      </c:pt>
                      <c:pt idx="329">
                        <c:v>45</c:v>
                      </c:pt>
                      <c:pt idx="330">
                        <c:v>36</c:v>
                      </c:pt>
                      <c:pt idx="331">
                        <c:v>19</c:v>
                      </c:pt>
                      <c:pt idx="332">
                        <c:v>3</c:v>
                      </c:pt>
                      <c:pt idx="333">
                        <c:v>1</c:v>
                      </c:pt>
                      <c:pt idx="334">
                        <c:v>39</c:v>
                      </c:pt>
                      <c:pt idx="335">
                        <c:v>39</c:v>
                      </c:pt>
                      <c:pt idx="336">
                        <c:v>45</c:v>
                      </c:pt>
                      <c:pt idx="337">
                        <c:v>49</c:v>
                      </c:pt>
                      <c:pt idx="338">
                        <c:v>44</c:v>
                      </c:pt>
                      <c:pt idx="339">
                        <c:v>35</c:v>
                      </c:pt>
                      <c:pt idx="340">
                        <c:v>20</c:v>
                      </c:pt>
                      <c:pt idx="341">
                        <c:v>36</c:v>
                      </c:pt>
                      <c:pt idx="342">
                        <c:v>50</c:v>
                      </c:pt>
                      <c:pt idx="343">
                        <c:v>32</c:v>
                      </c:pt>
                      <c:pt idx="344">
                        <c:v>16</c:v>
                      </c:pt>
                      <c:pt idx="345">
                        <c:v>42</c:v>
                      </c:pt>
                      <c:pt idx="346">
                        <c:v>49</c:v>
                      </c:pt>
                      <c:pt idx="347">
                        <c:v>12</c:v>
                      </c:pt>
                      <c:pt idx="348">
                        <c:v>50</c:v>
                      </c:pt>
                      <c:pt idx="349">
                        <c:v>28</c:v>
                      </c:pt>
                      <c:pt idx="350">
                        <c:v>2</c:v>
                      </c:pt>
                      <c:pt idx="351">
                        <c:v>27</c:v>
                      </c:pt>
                      <c:pt idx="352">
                        <c:v>31</c:v>
                      </c:pt>
                      <c:pt idx="353">
                        <c:v>4</c:v>
                      </c:pt>
                      <c:pt idx="354">
                        <c:v>35</c:v>
                      </c:pt>
                      <c:pt idx="355">
                        <c:v>8</c:v>
                      </c:pt>
                      <c:pt idx="356">
                        <c:v>2</c:v>
                      </c:pt>
                      <c:pt idx="357">
                        <c:v>0</c:v>
                      </c:pt>
                      <c:pt idx="358">
                        <c:v>32</c:v>
                      </c:pt>
                      <c:pt idx="359">
                        <c:v>0</c:v>
                      </c:pt>
                      <c:pt idx="360">
                        <c:v>48</c:v>
                      </c:pt>
                      <c:pt idx="361">
                        <c:v>39</c:v>
                      </c:pt>
                      <c:pt idx="362">
                        <c:v>43</c:v>
                      </c:pt>
                      <c:pt idx="363">
                        <c:v>50</c:v>
                      </c:pt>
                      <c:pt idx="364">
                        <c:v>31</c:v>
                      </c:pt>
                      <c:pt idx="365">
                        <c:v>32</c:v>
                      </c:pt>
                      <c:pt idx="366">
                        <c:v>26</c:v>
                      </c:pt>
                      <c:pt idx="367">
                        <c:v>25</c:v>
                      </c:pt>
                      <c:pt idx="368">
                        <c:v>25</c:v>
                      </c:pt>
                      <c:pt idx="369">
                        <c:v>42</c:v>
                      </c:pt>
                      <c:pt idx="370">
                        <c:v>42</c:v>
                      </c:pt>
                      <c:pt idx="371">
                        <c:v>7</c:v>
                      </c:pt>
                      <c:pt idx="372">
                        <c:v>45</c:v>
                      </c:pt>
                      <c:pt idx="373">
                        <c:v>20</c:v>
                      </c:pt>
                      <c:pt idx="374">
                        <c:v>28</c:v>
                      </c:pt>
                      <c:pt idx="375">
                        <c:v>5</c:v>
                      </c:pt>
                      <c:pt idx="376">
                        <c:v>50</c:v>
                      </c:pt>
                      <c:pt idx="377">
                        <c:v>6</c:v>
                      </c:pt>
                      <c:pt idx="378">
                        <c:v>38</c:v>
                      </c:pt>
                      <c:pt idx="379">
                        <c:v>2</c:v>
                      </c:pt>
                      <c:pt idx="380">
                        <c:v>32</c:v>
                      </c:pt>
                      <c:pt idx="381">
                        <c:v>3</c:v>
                      </c:pt>
                      <c:pt idx="382">
                        <c:v>5</c:v>
                      </c:pt>
                      <c:pt idx="383">
                        <c:v>25</c:v>
                      </c:pt>
                      <c:pt idx="384">
                        <c:v>50</c:v>
                      </c:pt>
                      <c:pt idx="385">
                        <c:v>46</c:v>
                      </c:pt>
                      <c:pt idx="386">
                        <c:v>28</c:v>
                      </c:pt>
                      <c:pt idx="387">
                        <c:v>28</c:v>
                      </c:pt>
                      <c:pt idx="388">
                        <c:v>30</c:v>
                      </c:pt>
                      <c:pt idx="389">
                        <c:v>25</c:v>
                      </c:pt>
                      <c:pt idx="390">
                        <c:v>34</c:v>
                      </c:pt>
                      <c:pt idx="391">
                        <c:v>2</c:v>
                      </c:pt>
                      <c:pt idx="392">
                        <c:v>22</c:v>
                      </c:pt>
                      <c:pt idx="393">
                        <c:v>45</c:v>
                      </c:pt>
                      <c:pt idx="394">
                        <c:v>2</c:v>
                      </c:pt>
                      <c:pt idx="395">
                        <c:v>5</c:v>
                      </c:pt>
                      <c:pt idx="396">
                        <c:v>37</c:v>
                      </c:pt>
                      <c:pt idx="397">
                        <c:v>32</c:v>
                      </c:pt>
                      <c:pt idx="398">
                        <c:v>40</c:v>
                      </c:pt>
                      <c:pt idx="399">
                        <c:v>25</c:v>
                      </c:pt>
                      <c:pt idx="400">
                        <c:v>0</c:v>
                      </c:pt>
                      <c:pt idx="401">
                        <c:v>9</c:v>
                      </c:pt>
                      <c:pt idx="402">
                        <c:v>4</c:v>
                      </c:pt>
                      <c:pt idx="403">
                        <c:v>40</c:v>
                      </c:pt>
                      <c:pt idx="404">
                        <c:v>16</c:v>
                      </c:pt>
                      <c:pt idx="405">
                        <c:v>8</c:v>
                      </c:pt>
                      <c:pt idx="406">
                        <c:v>3</c:v>
                      </c:pt>
                      <c:pt idx="407">
                        <c:v>1</c:v>
                      </c:pt>
                      <c:pt idx="408">
                        <c:v>5</c:v>
                      </c:pt>
                      <c:pt idx="409">
                        <c:v>9</c:v>
                      </c:pt>
                      <c:pt idx="410">
                        <c:v>27</c:v>
                      </c:pt>
                      <c:pt idx="411">
                        <c:v>15</c:v>
                      </c:pt>
                      <c:pt idx="412">
                        <c:v>46</c:v>
                      </c:pt>
                      <c:pt idx="413">
                        <c:v>37</c:v>
                      </c:pt>
                      <c:pt idx="414">
                        <c:v>22</c:v>
                      </c:pt>
                      <c:pt idx="415">
                        <c:v>13</c:v>
                      </c:pt>
                      <c:pt idx="416">
                        <c:v>7</c:v>
                      </c:pt>
                      <c:pt idx="417">
                        <c:v>32</c:v>
                      </c:pt>
                      <c:pt idx="418">
                        <c:v>26</c:v>
                      </c:pt>
                      <c:pt idx="419">
                        <c:v>16</c:v>
                      </c:pt>
                      <c:pt idx="420">
                        <c:v>47</c:v>
                      </c:pt>
                      <c:pt idx="421">
                        <c:v>17</c:v>
                      </c:pt>
                      <c:pt idx="422">
                        <c:v>11</c:v>
                      </c:pt>
                      <c:pt idx="423">
                        <c:v>38</c:v>
                      </c:pt>
                      <c:pt idx="424">
                        <c:v>36</c:v>
                      </c:pt>
                      <c:pt idx="425">
                        <c:v>5</c:v>
                      </c:pt>
                      <c:pt idx="426">
                        <c:v>36</c:v>
                      </c:pt>
                      <c:pt idx="427">
                        <c:v>41</c:v>
                      </c:pt>
                      <c:pt idx="428">
                        <c:v>42</c:v>
                      </c:pt>
                      <c:pt idx="429">
                        <c:v>23</c:v>
                      </c:pt>
                      <c:pt idx="430">
                        <c:v>14</c:v>
                      </c:pt>
                      <c:pt idx="431">
                        <c:v>7</c:v>
                      </c:pt>
                      <c:pt idx="432">
                        <c:v>37</c:v>
                      </c:pt>
                      <c:pt idx="433">
                        <c:v>39</c:v>
                      </c:pt>
                      <c:pt idx="434">
                        <c:v>10</c:v>
                      </c:pt>
                      <c:pt idx="435">
                        <c:v>37</c:v>
                      </c:pt>
                      <c:pt idx="436">
                        <c:v>35</c:v>
                      </c:pt>
                      <c:pt idx="437">
                        <c:v>44</c:v>
                      </c:pt>
                      <c:pt idx="438">
                        <c:v>4</c:v>
                      </c:pt>
                      <c:pt idx="439">
                        <c:v>4</c:v>
                      </c:pt>
                      <c:pt idx="440">
                        <c:v>7</c:v>
                      </c:pt>
                      <c:pt idx="441">
                        <c:v>28</c:v>
                      </c:pt>
                      <c:pt idx="442">
                        <c:v>44</c:v>
                      </c:pt>
                      <c:pt idx="443">
                        <c:v>30</c:v>
                      </c:pt>
                      <c:pt idx="444">
                        <c:v>10</c:v>
                      </c:pt>
                      <c:pt idx="445">
                        <c:v>34</c:v>
                      </c:pt>
                      <c:pt idx="446">
                        <c:v>37</c:v>
                      </c:pt>
                      <c:pt idx="447">
                        <c:v>37</c:v>
                      </c:pt>
                      <c:pt idx="448">
                        <c:v>31</c:v>
                      </c:pt>
                      <c:pt idx="449">
                        <c:v>34</c:v>
                      </c:pt>
                      <c:pt idx="450">
                        <c:v>5</c:v>
                      </c:pt>
                      <c:pt idx="451">
                        <c:v>25</c:v>
                      </c:pt>
                      <c:pt idx="452">
                        <c:v>28</c:v>
                      </c:pt>
                      <c:pt idx="453">
                        <c:v>7</c:v>
                      </c:pt>
                      <c:pt idx="454">
                        <c:v>50</c:v>
                      </c:pt>
                      <c:pt idx="455">
                        <c:v>23</c:v>
                      </c:pt>
                      <c:pt idx="456">
                        <c:v>6</c:v>
                      </c:pt>
                      <c:pt idx="457">
                        <c:v>16</c:v>
                      </c:pt>
                      <c:pt idx="458">
                        <c:v>34</c:v>
                      </c:pt>
                      <c:pt idx="459">
                        <c:v>10</c:v>
                      </c:pt>
                      <c:pt idx="460">
                        <c:v>25</c:v>
                      </c:pt>
                      <c:pt idx="461">
                        <c:v>10</c:v>
                      </c:pt>
                      <c:pt idx="462">
                        <c:v>4</c:v>
                      </c:pt>
                      <c:pt idx="463">
                        <c:v>46</c:v>
                      </c:pt>
                      <c:pt idx="464">
                        <c:v>31</c:v>
                      </c:pt>
                      <c:pt idx="465">
                        <c:v>18</c:v>
                      </c:pt>
                      <c:pt idx="466">
                        <c:v>41</c:v>
                      </c:pt>
                      <c:pt idx="467">
                        <c:v>11</c:v>
                      </c:pt>
                      <c:pt idx="468">
                        <c:v>48</c:v>
                      </c:pt>
                      <c:pt idx="469">
                        <c:v>16</c:v>
                      </c:pt>
                      <c:pt idx="470">
                        <c:v>38</c:v>
                      </c:pt>
                      <c:pt idx="471">
                        <c:v>22</c:v>
                      </c:pt>
                      <c:pt idx="472">
                        <c:v>24</c:v>
                      </c:pt>
                      <c:pt idx="473">
                        <c:v>32</c:v>
                      </c:pt>
                      <c:pt idx="474">
                        <c:v>48</c:v>
                      </c:pt>
                      <c:pt idx="475">
                        <c:v>29</c:v>
                      </c:pt>
                      <c:pt idx="476">
                        <c:v>46</c:v>
                      </c:pt>
                      <c:pt idx="477">
                        <c:v>37</c:v>
                      </c:pt>
                      <c:pt idx="478">
                        <c:v>28</c:v>
                      </c:pt>
                      <c:pt idx="479">
                        <c:v>1</c:v>
                      </c:pt>
                      <c:pt idx="480">
                        <c:v>9</c:v>
                      </c:pt>
                      <c:pt idx="481">
                        <c:v>48</c:v>
                      </c:pt>
                      <c:pt idx="482">
                        <c:v>28</c:v>
                      </c:pt>
                      <c:pt idx="483">
                        <c:v>7</c:v>
                      </c:pt>
                      <c:pt idx="484">
                        <c:v>22</c:v>
                      </c:pt>
                      <c:pt idx="485">
                        <c:v>11</c:v>
                      </c:pt>
                      <c:pt idx="486">
                        <c:v>12</c:v>
                      </c:pt>
                      <c:pt idx="487">
                        <c:v>17</c:v>
                      </c:pt>
                      <c:pt idx="488">
                        <c:v>6</c:v>
                      </c:pt>
                      <c:pt idx="489">
                        <c:v>27</c:v>
                      </c:pt>
                      <c:pt idx="490">
                        <c:v>23</c:v>
                      </c:pt>
                      <c:pt idx="491">
                        <c:v>31</c:v>
                      </c:pt>
                      <c:pt idx="492">
                        <c:v>24</c:v>
                      </c:pt>
                      <c:pt idx="493">
                        <c:v>38</c:v>
                      </c:pt>
                      <c:pt idx="494">
                        <c:v>32</c:v>
                      </c:pt>
                      <c:pt idx="495">
                        <c:v>32</c:v>
                      </c:pt>
                      <c:pt idx="496">
                        <c:v>17</c:v>
                      </c:pt>
                      <c:pt idx="497">
                        <c:v>22</c:v>
                      </c:pt>
                      <c:pt idx="498">
                        <c:v>36</c:v>
                      </c:pt>
                      <c:pt idx="499">
                        <c:v>16</c:v>
                      </c:pt>
                    </c:numCache>
                  </c:numRef>
                </c:yVal>
                <c:smooth val="0"/>
                <c:extLst>
                  <c:ext xmlns:c16="http://schemas.microsoft.com/office/drawing/2014/chart" uri="{C3380CC4-5D6E-409C-BE32-E72D297353CC}">
                    <c16:uniqueId val="{00000003-3FBD-4550-9CC1-830AAFDA50EF}"/>
                  </c:ext>
                </c:extLst>
              </c15:ser>
            </c15:filteredScatterSeries>
            <c15:filteredScatterSeries>
              <c15:ser>
                <c:idx val="1"/>
                <c:order val="1"/>
                <c:tx>
                  <c:strRef>
                    <c:extLst>
                      <c:ext xmlns:c15="http://schemas.microsoft.com/office/drawing/2012/chart" uri="{02D57815-91ED-43cb-92C2-25804820EDAC}">
                        <c15:formulaRef>
                          <c15:sqref>User_data!$E$2</c15:sqref>
                        </c15:formulaRef>
                      </c:ext>
                    </c:extLst>
                    <c:strCache>
                      <c:ptCount val="1"/>
                      <c:pt idx="0">
                        <c:v>Comments</c:v>
                      </c:pt>
                    </c:strCache>
                  </c:strRef>
                </c:tx>
                <c:spPr>
                  <a:ln w="38100" cap="rnd">
                    <a:noFill/>
                    <a:round/>
                  </a:ln>
                  <a:effectLst/>
                </c:spPr>
                <c:marker>
                  <c:symbol val="circle"/>
                  <c:size val="5"/>
                  <c:spPr>
                    <a:solidFill>
                      <a:schemeClr val="accent2"/>
                    </a:solidFill>
                    <a:ln w="9525">
                      <a:solidFill>
                        <a:schemeClr val="accent2"/>
                      </a:solidFill>
                    </a:ln>
                    <a:effectLst/>
                  </c:spPr>
                </c:marker>
                <c:xVal>
                  <c:multiLvlStrRef>
                    <c:extLst>
                      <c:ext xmlns:c15="http://schemas.microsoft.com/office/drawing/2012/chart" uri="{02D57815-91ED-43cb-92C2-25804820EDAC}">
                        <c15:formulaRef>
                          <c15:sqref>User_data!$A$3:$C$502</c15:sqref>
                        </c15:formulaRef>
                      </c:ext>
                    </c:extLst>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extLst>
                      <c:ext xmlns:c15="http://schemas.microsoft.com/office/drawing/2012/chart" uri="{02D57815-91ED-43cb-92C2-25804820EDAC}">
                        <c15:formulaRef>
                          <c15:sqref>User_data!$E$3:$E$502</c15:sqref>
                        </c15:formulaRef>
                      </c:ext>
                    </c:extLst>
                    <c:numCache>
                      <c:formatCode>General</c:formatCode>
                      <c:ptCount val="500"/>
                      <c:pt idx="0">
                        <c:v>6</c:v>
                      </c:pt>
                      <c:pt idx="1">
                        <c:v>5</c:v>
                      </c:pt>
                      <c:pt idx="2">
                        <c:v>1</c:v>
                      </c:pt>
                      <c:pt idx="3">
                        <c:v>4</c:v>
                      </c:pt>
                      <c:pt idx="4">
                        <c:v>9</c:v>
                      </c:pt>
                      <c:pt idx="5">
                        <c:v>10</c:v>
                      </c:pt>
                      <c:pt idx="6">
                        <c:v>9</c:v>
                      </c:pt>
                      <c:pt idx="7">
                        <c:v>7</c:v>
                      </c:pt>
                      <c:pt idx="8">
                        <c:v>7</c:v>
                      </c:pt>
                      <c:pt idx="9">
                        <c:v>6</c:v>
                      </c:pt>
                      <c:pt idx="10">
                        <c:v>8</c:v>
                      </c:pt>
                      <c:pt idx="11">
                        <c:v>4</c:v>
                      </c:pt>
                      <c:pt idx="12">
                        <c:v>8</c:v>
                      </c:pt>
                      <c:pt idx="13">
                        <c:v>8</c:v>
                      </c:pt>
                      <c:pt idx="14">
                        <c:v>6</c:v>
                      </c:pt>
                      <c:pt idx="15">
                        <c:v>6</c:v>
                      </c:pt>
                      <c:pt idx="16">
                        <c:v>9</c:v>
                      </c:pt>
                      <c:pt idx="17">
                        <c:v>2</c:v>
                      </c:pt>
                      <c:pt idx="18">
                        <c:v>4</c:v>
                      </c:pt>
                      <c:pt idx="19">
                        <c:v>10</c:v>
                      </c:pt>
                      <c:pt idx="20">
                        <c:v>9</c:v>
                      </c:pt>
                      <c:pt idx="21">
                        <c:v>1</c:v>
                      </c:pt>
                      <c:pt idx="22">
                        <c:v>10</c:v>
                      </c:pt>
                      <c:pt idx="23">
                        <c:v>0</c:v>
                      </c:pt>
                      <c:pt idx="24">
                        <c:v>1</c:v>
                      </c:pt>
                      <c:pt idx="25">
                        <c:v>5</c:v>
                      </c:pt>
                      <c:pt idx="26">
                        <c:v>1</c:v>
                      </c:pt>
                      <c:pt idx="27">
                        <c:v>10</c:v>
                      </c:pt>
                      <c:pt idx="28">
                        <c:v>0</c:v>
                      </c:pt>
                      <c:pt idx="29">
                        <c:v>2</c:v>
                      </c:pt>
                      <c:pt idx="30">
                        <c:v>8</c:v>
                      </c:pt>
                      <c:pt idx="31">
                        <c:v>10</c:v>
                      </c:pt>
                      <c:pt idx="32">
                        <c:v>9</c:v>
                      </c:pt>
                      <c:pt idx="33">
                        <c:v>3</c:v>
                      </c:pt>
                      <c:pt idx="34">
                        <c:v>6</c:v>
                      </c:pt>
                      <c:pt idx="35">
                        <c:v>0</c:v>
                      </c:pt>
                      <c:pt idx="36">
                        <c:v>8</c:v>
                      </c:pt>
                      <c:pt idx="37">
                        <c:v>2</c:v>
                      </c:pt>
                      <c:pt idx="38">
                        <c:v>0</c:v>
                      </c:pt>
                      <c:pt idx="39">
                        <c:v>0</c:v>
                      </c:pt>
                      <c:pt idx="40">
                        <c:v>5</c:v>
                      </c:pt>
                      <c:pt idx="41">
                        <c:v>1</c:v>
                      </c:pt>
                      <c:pt idx="42">
                        <c:v>1</c:v>
                      </c:pt>
                      <c:pt idx="43">
                        <c:v>6</c:v>
                      </c:pt>
                      <c:pt idx="44">
                        <c:v>1</c:v>
                      </c:pt>
                      <c:pt idx="45">
                        <c:v>8</c:v>
                      </c:pt>
                      <c:pt idx="46">
                        <c:v>10</c:v>
                      </c:pt>
                      <c:pt idx="47">
                        <c:v>8</c:v>
                      </c:pt>
                      <c:pt idx="48">
                        <c:v>7</c:v>
                      </c:pt>
                      <c:pt idx="49">
                        <c:v>2</c:v>
                      </c:pt>
                      <c:pt idx="50">
                        <c:v>0</c:v>
                      </c:pt>
                      <c:pt idx="51">
                        <c:v>8</c:v>
                      </c:pt>
                      <c:pt idx="52">
                        <c:v>1</c:v>
                      </c:pt>
                      <c:pt idx="53">
                        <c:v>2</c:v>
                      </c:pt>
                      <c:pt idx="54">
                        <c:v>4</c:v>
                      </c:pt>
                      <c:pt idx="55">
                        <c:v>9</c:v>
                      </c:pt>
                      <c:pt idx="56">
                        <c:v>9</c:v>
                      </c:pt>
                      <c:pt idx="57">
                        <c:v>1</c:v>
                      </c:pt>
                      <c:pt idx="58">
                        <c:v>4</c:v>
                      </c:pt>
                      <c:pt idx="59">
                        <c:v>1</c:v>
                      </c:pt>
                      <c:pt idx="60">
                        <c:v>7</c:v>
                      </c:pt>
                      <c:pt idx="61">
                        <c:v>0</c:v>
                      </c:pt>
                      <c:pt idx="62">
                        <c:v>9</c:v>
                      </c:pt>
                      <c:pt idx="63">
                        <c:v>6</c:v>
                      </c:pt>
                      <c:pt idx="64">
                        <c:v>0</c:v>
                      </c:pt>
                      <c:pt idx="65">
                        <c:v>7</c:v>
                      </c:pt>
                      <c:pt idx="66">
                        <c:v>7</c:v>
                      </c:pt>
                      <c:pt idx="67">
                        <c:v>6</c:v>
                      </c:pt>
                      <c:pt idx="68">
                        <c:v>10</c:v>
                      </c:pt>
                      <c:pt idx="69">
                        <c:v>6</c:v>
                      </c:pt>
                      <c:pt idx="70">
                        <c:v>10</c:v>
                      </c:pt>
                      <c:pt idx="71">
                        <c:v>8</c:v>
                      </c:pt>
                      <c:pt idx="72">
                        <c:v>5</c:v>
                      </c:pt>
                      <c:pt idx="73">
                        <c:v>3</c:v>
                      </c:pt>
                      <c:pt idx="74">
                        <c:v>1</c:v>
                      </c:pt>
                      <c:pt idx="75">
                        <c:v>3</c:v>
                      </c:pt>
                      <c:pt idx="76">
                        <c:v>1</c:v>
                      </c:pt>
                      <c:pt idx="77">
                        <c:v>6</c:v>
                      </c:pt>
                      <c:pt idx="78">
                        <c:v>0</c:v>
                      </c:pt>
                      <c:pt idx="79">
                        <c:v>0</c:v>
                      </c:pt>
                      <c:pt idx="80">
                        <c:v>9</c:v>
                      </c:pt>
                      <c:pt idx="81">
                        <c:v>2</c:v>
                      </c:pt>
                      <c:pt idx="82">
                        <c:v>4</c:v>
                      </c:pt>
                      <c:pt idx="83">
                        <c:v>1</c:v>
                      </c:pt>
                      <c:pt idx="84">
                        <c:v>2</c:v>
                      </c:pt>
                      <c:pt idx="85">
                        <c:v>9</c:v>
                      </c:pt>
                      <c:pt idx="86">
                        <c:v>4</c:v>
                      </c:pt>
                      <c:pt idx="87">
                        <c:v>0</c:v>
                      </c:pt>
                      <c:pt idx="88">
                        <c:v>3</c:v>
                      </c:pt>
                      <c:pt idx="89">
                        <c:v>10</c:v>
                      </c:pt>
                      <c:pt idx="90">
                        <c:v>2</c:v>
                      </c:pt>
                      <c:pt idx="91">
                        <c:v>2</c:v>
                      </c:pt>
                      <c:pt idx="92">
                        <c:v>8</c:v>
                      </c:pt>
                      <c:pt idx="93">
                        <c:v>0</c:v>
                      </c:pt>
                      <c:pt idx="94">
                        <c:v>1</c:v>
                      </c:pt>
                      <c:pt idx="95">
                        <c:v>2</c:v>
                      </c:pt>
                      <c:pt idx="96">
                        <c:v>0</c:v>
                      </c:pt>
                      <c:pt idx="97">
                        <c:v>10</c:v>
                      </c:pt>
                      <c:pt idx="98">
                        <c:v>9</c:v>
                      </c:pt>
                      <c:pt idx="99">
                        <c:v>6</c:v>
                      </c:pt>
                      <c:pt idx="100">
                        <c:v>7</c:v>
                      </c:pt>
                      <c:pt idx="101">
                        <c:v>10</c:v>
                      </c:pt>
                      <c:pt idx="102">
                        <c:v>9</c:v>
                      </c:pt>
                      <c:pt idx="103">
                        <c:v>5</c:v>
                      </c:pt>
                      <c:pt idx="104">
                        <c:v>9</c:v>
                      </c:pt>
                      <c:pt idx="105">
                        <c:v>4</c:v>
                      </c:pt>
                      <c:pt idx="106">
                        <c:v>10</c:v>
                      </c:pt>
                      <c:pt idx="107">
                        <c:v>5</c:v>
                      </c:pt>
                      <c:pt idx="108">
                        <c:v>1</c:v>
                      </c:pt>
                      <c:pt idx="109">
                        <c:v>0</c:v>
                      </c:pt>
                      <c:pt idx="110">
                        <c:v>5</c:v>
                      </c:pt>
                      <c:pt idx="111">
                        <c:v>5</c:v>
                      </c:pt>
                      <c:pt idx="112">
                        <c:v>9</c:v>
                      </c:pt>
                      <c:pt idx="113">
                        <c:v>5</c:v>
                      </c:pt>
                      <c:pt idx="114">
                        <c:v>2</c:v>
                      </c:pt>
                      <c:pt idx="115">
                        <c:v>10</c:v>
                      </c:pt>
                      <c:pt idx="116">
                        <c:v>5</c:v>
                      </c:pt>
                      <c:pt idx="117">
                        <c:v>6</c:v>
                      </c:pt>
                      <c:pt idx="118">
                        <c:v>2</c:v>
                      </c:pt>
                      <c:pt idx="119">
                        <c:v>9</c:v>
                      </c:pt>
                      <c:pt idx="120">
                        <c:v>1</c:v>
                      </c:pt>
                      <c:pt idx="121">
                        <c:v>6</c:v>
                      </c:pt>
                      <c:pt idx="122">
                        <c:v>8</c:v>
                      </c:pt>
                      <c:pt idx="123">
                        <c:v>8</c:v>
                      </c:pt>
                      <c:pt idx="124">
                        <c:v>1</c:v>
                      </c:pt>
                      <c:pt idx="125">
                        <c:v>0</c:v>
                      </c:pt>
                      <c:pt idx="126">
                        <c:v>9</c:v>
                      </c:pt>
                      <c:pt idx="127">
                        <c:v>9</c:v>
                      </c:pt>
                      <c:pt idx="128">
                        <c:v>1</c:v>
                      </c:pt>
                      <c:pt idx="129">
                        <c:v>1</c:v>
                      </c:pt>
                      <c:pt idx="130">
                        <c:v>9</c:v>
                      </c:pt>
                      <c:pt idx="131">
                        <c:v>9</c:v>
                      </c:pt>
                      <c:pt idx="132">
                        <c:v>4</c:v>
                      </c:pt>
                      <c:pt idx="133">
                        <c:v>7</c:v>
                      </c:pt>
                      <c:pt idx="134">
                        <c:v>3</c:v>
                      </c:pt>
                      <c:pt idx="135">
                        <c:v>0</c:v>
                      </c:pt>
                      <c:pt idx="136">
                        <c:v>6</c:v>
                      </c:pt>
                      <c:pt idx="137">
                        <c:v>5</c:v>
                      </c:pt>
                      <c:pt idx="138">
                        <c:v>9</c:v>
                      </c:pt>
                      <c:pt idx="139">
                        <c:v>5</c:v>
                      </c:pt>
                      <c:pt idx="140">
                        <c:v>0</c:v>
                      </c:pt>
                      <c:pt idx="141">
                        <c:v>0</c:v>
                      </c:pt>
                      <c:pt idx="142">
                        <c:v>3</c:v>
                      </c:pt>
                      <c:pt idx="143">
                        <c:v>5</c:v>
                      </c:pt>
                      <c:pt idx="144">
                        <c:v>1</c:v>
                      </c:pt>
                      <c:pt idx="145">
                        <c:v>10</c:v>
                      </c:pt>
                      <c:pt idx="146">
                        <c:v>6</c:v>
                      </c:pt>
                      <c:pt idx="147">
                        <c:v>7</c:v>
                      </c:pt>
                      <c:pt idx="148">
                        <c:v>7</c:v>
                      </c:pt>
                      <c:pt idx="149">
                        <c:v>8</c:v>
                      </c:pt>
                      <c:pt idx="150">
                        <c:v>1</c:v>
                      </c:pt>
                      <c:pt idx="151">
                        <c:v>7</c:v>
                      </c:pt>
                      <c:pt idx="152">
                        <c:v>2</c:v>
                      </c:pt>
                      <c:pt idx="153">
                        <c:v>6</c:v>
                      </c:pt>
                      <c:pt idx="154">
                        <c:v>8</c:v>
                      </c:pt>
                      <c:pt idx="155">
                        <c:v>5</c:v>
                      </c:pt>
                      <c:pt idx="156">
                        <c:v>9</c:v>
                      </c:pt>
                      <c:pt idx="157">
                        <c:v>6</c:v>
                      </c:pt>
                      <c:pt idx="158">
                        <c:v>6</c:v>
                      </c:pt>
                      <c:pt idx="159">
                        <c:v>0</c:v>
                      </c:pt>
                      <c:pt idx="160">
                        <c:v>2</c:v>
                      </c:pt>
                      <c:pt idx="161">
                        <c:v>2</c:v>
                      </c:pt>
                      <c:pt idx="162">
                        <c:v>6</c:v>
                      </c:pt>
                      <c:pt idx="163">
                        <c:v>3</c:v>
                      </c:pt>
                      <c:pt idx="164">
                        <c:v>3</c:v>
                      </c:pt>
                      <c:pt idx="165">
                        <c:v>4</c:v>
                      </c:pt>
                      <c:pt idx="166">
                        <c:v>8</c:v>
                      </c:pt>
                      <c:pt idx="167">
                        <c:v>3</c:v>
                      </c:pt>
                      <c:pt idx="168">
                        <c:v>5</c:v>
                      </c:pt>
                      <c:pt idx="169">
                        <c:v>5</c:v>
                      </c:pt>
                      <c:pt idx="170">
                        <c:v>5</c:v>
                      </c:pt>
                      <c:pt idx="171">
                        <c:v>5</c:v>
                      </c:pt>
                      <c:pt idx="172">
                        <c:v>4</c:v>
                      </c:pt>
                      <c:pt idx="173">
                        <c:v>4</c:v>
                      </c:pt>
                      <c:pt idx="174">
                        <c:v>8</c:v>
                      </c:pt>
                      <c:pt idx="175">
                        <c:v>10</c:v>
                      </c:pt>
                      <c:pt idx="176">
                        <c:v>1</c:v>
                      </c:pt>
                      <c:pt idx="177">
                        <c:v>9</c:v>
                      </c:pt>
                      <c:pt idx="178">
                        <c:v>0</c:v>
                      </c:pt>
                      <c:pt idx="179">
                        <c:v>9</c:v>
                      </c:pt>
                      <c:pt idx="180">
                        <c:v>2</c:v>
                      </c:pt>
                      <c:pt idx="181">
                        <c:v>10</c:v>
                      </c:pt>
                      <c:pt idx="182">
                        <c:v>0</c:v>
                      </c:pt>
                      <c:pt idx="183">
                        <c:v>10</c:v>
                      </c:pt>
                      <c:pt idx="184">
                        <c:v>1</c:v>
                      </c:pt>
                      <c:pt idx="185">
                        <c:v>5</c:v>
                      </c:pt>
                      <c:pt idx="186">
                        <c:v>2</c:v>
                      </c:pt>
                      <c:pt idx="187">
                        <c:v>4</c:v>
                      </c:pt>
                      <c:pt idx="188">
                        <c:v>8</c:v>
                      </c:pt>
                      <c:pt idx="189">
                        <c:v>0</c:v>
                      </c:pt>
                      <c:pt idx="190">
                        <c:v>1</c:v>
                      </c:pt>
                      <c:pt idx="191">
                        <c:v>7</c:v>
                      </c:pt>
                      <c:pt idx="192">
                        <c:v>3</c:v>
                      </c:pt>
                      <c:pt idx="193">
                        <c:v>5</c:v>
                      </c:pt>
                      <c:pt idx="194">
                        <c:v>7</c:v>
                      </c:pt>
                      <c:pt idx="195">
                        <c:v>5</c:v>
                      </c:pt>
                      <c:pt idx="196">
                        <c:v>9</c:v>
                      </c:pt>
                      <c:pt idx="197">
                        <c:v>9</c:v>
                      </c:pt>
                      <c:pt idx="198">
                        <c:v>5</c:v>
                      </c:pt>
                      <c:pt idx="199">
                        <c:v>10</c:v>
                      </c:pt>
                      <c:pt idx="200">
                        <c:v>10</c:v>
                      </c:pt>
                      <c:pt idx="201">
                        <c:v>2</c:v>
                      </c:pt>
                      <c:pt idx="202">
                        <c:v>9</c:v>
                      </c:pt>
                      <c:pt idx="203">
                        <c:v>3</c:v>
                      </c:pt>
                      <c:pt idx="204">
                        <c:v>1</c:v>
                      </c:pt>
                      <c:pt idx="205">
                        <c:v>1</c:v>
                      </c:pt>
                      <c:pt idx="206">
                        <c:v>8</c:v>
                      </c:pt>
                      <c:pt idx="207">
                        <c:v>10</c:v>
                      </c:pt>
                      <c:pt idx="208">
                        <c:v>8</c:v>
                      </c:pt>
                      <c:pt idx="209">
                        <c:v>1</c:v>
                      </c:pt>
                      <c:pt idx="210">
                        <c:v>10</c:v>
                      </c:pt>
                      <c:pt idx="211">
                        <c:v>10</c:v>
                      </c:pt>
                      <c:pt idx="212">
                        <c:v>9</c:v>
                      </c:pt>
                      <c:pt idx="213">
                        <c:v>8</c:v>
                      </c:pt>
                      <c:pt idx="214">
                        <c:v>2</c:v>
                      </c:pt>
                      <c:pt idx="215">
                        <c:v>3</c:v>
                      </c:pt>
                      <c:pt idx="216">
                        <c:v>0</c:v>
                      </c:pt>
                      <c:pt idx="217">
                        <c:v>8</c:v>
                      </c:pt>
                      <c:pt idx="218">
                        <c:v>8</c:v>
                      </c:pt>
                      <c:pt idx="219">
                        <c:v>10</c:v>
                      </c:pt>
                      <c:pt idx="220">
                        <c:v>2</c:v>
                      </c:pt>
                      <c:pt idx="221">
                        <c:v>3</c:v>
                      </c:pt>
                      <c:pt idx="222">
                        <c:v>0</c:v>
                      </c:pt>
                      <c:pt idx="223">
                        <c:v>1</c:v>
                      </c:pt>
                      <c:pt idx="224">
                        <c:v>4</c:v>
                      </c:pt>
                      <c:pt idx="225">
                        <c:v>8</c:v>
                      </c:pt>
                      <c:pt idx="226">
                        <c:v>2</c:v>
                      </c:pt>
                      <c:pt idx="227">
                        <c:v>7</c:v>
                      </c:pt>
                      <c:pt idx="228">
                        <c:v>2</c:v>
                      </c:pt>
                      <c:pt idx="229">
                        <c:v>6</c:v>
                      </c:pt>
                      <c:pt idx="230">
                        <c:v>8</c:v>
                      </c:pt>
                      <c:pt idx="231">
                        <c:v>4</c:v>
                      </c:pt>
                      <c:pt idx="232">
                        <c:v>1</c:v>
                      </c:pt>
                      <c:pt idx="233">
                        <c:v>3</c:v>
                      </c:pt>
                      <c:pt idx="234">
                        <c:v>3</c:v>
                      </c:pt>
                      <c:pt idx="235">
                        <c:v>0</c:v>
                      </c:pt>
                      <c:pt idx="236">
                        <c:v>6</c:v>
                      </c:pt>
                      <c:pt idx="237">
                        <c:v>3</c:v>
                      </c:pt>
                      <c:pt idx="238">
                        <c:v>0</c:v>
                      </c:pt>
                      <c:pt idx="239">
                        <c:v>4</c:v>
                      </c:pt>
                      <c:pt idx="240">
                        <c:v>1</c:v>
                      </c:pt>
                      <c:pt idx="241">
                        <c:v>0</c:v>
                      </c:pt>
                      <c:pt idx="242">
                        <c:v>4</c:v>
                      </c:pt>
                      <c:pt idx="243">
                        <c:v>5</c:v>
                      </c:pt>
                      <c:pt idx="244">
                        <c:v>4</c:v>
                      </c:pt>
                      <c:pt idx="245">
                        <c:v>8</c:v>
                      </c:pt>
                      <c:pt idx="246">
                        <c:v>1</c:v>
                      </c:pt>
                      <c:pt idx="247">
                        <c:v>2</c:v>
                      </c:pt>
                      <c:pt idx="248">
                        <c:v>2</c:v>
                      </c:pt>
                      <c:pt idx="249">
                        <c:v>9</c:v>
                      </c:pt>
                      <c:pt idx="250">
                        <c:v>4</c:v>
                      </c:pt>
                      <c:pt idx="251">
                        <c:v>3</c:v>
                      </c:pt>
                      <c:pt idx="252">
                        <c:v>4</c:v>
                      </c:pt>
                      <c:pt idx="253">
                        <c:v>1</c:v>
                      </c:pt>
                      <c:pt idx="254">
                        <c:v>2</c:v>
                      </c:pt>
                      <c:pt idx="255">
                        <c:v>3</c:v>
                      </c:pt>
                      <c:pt idx="256">
                        <c:v>0</c:v>
                      </c:pt>
                      <c:pt idx="257">
                        <c:v>7</c:v>
                      </c:pt>
                      <c:pt idx="258">
                        <c:v>4</c:v>
                      </c:pt>
                      <c:pt idx="259">
                        <c:v>10</c:v>
                      </c:pt>
                      <c:pt idx="260">
                        <c:v>7</c:v>
                      </c:pt>
                      <c:pt idx="261">
                        <c:v>2</c:v>
                      </c:pt>
                      <c:pt idx="262">
                        <c:v>5</c:v>
                      </c:pt>
                      <c:pt idx="263">
                        <c:v>10</c:v>
                      </c:pt>
                      <c:pt idx="264">
                        <c:v>8</c:v>
                      </c:pt>
                      <c:pt idx="265">
                        <c:v>2</c:v>
                      </c:pt>
                      <c:pt idx="266">
                        <c:v>7</c:v>
                      </c:pt>
                      <c:pt idx="267">
                        <c:v>0</c:v>
                      </c:pt>
                      <c:pt idx="268">
                        <c:v>10</c:v>
                      </c:pt>
                      <c:pt idx="269">
                        <c:v>10</c:v>
                      </c:pt>
                      <c:pt idx="270">
                        <c:v>4</c:v>
                      </c:pt>
                      <c:pt idx="271">
                        <c:v>1</c:v>
                      </c:pt>
                      <c:pt idx="272">
                        <c:v>3</c:v>
                      </c:pt>
                      <c:pt idx="273">
                        <c:v>9</c:v>
                      </c:pt>
                      <c:pt idx="274">
                        <c:v>2</c:v>
                      </c:pt>
                      <c:pt idx="275">
                        <c:v>0</c:v>
                      </c:pt>
                      <c:pt idx="276">
                        <c:v>9</c:v>
                      </c:pt>
                      <c:pt idx="277">
                        <c:v>7</c:v>
                      </c:pt>
                      <c:pt idx="278">
                        <c:v>5</c:v>
                      </c:pt>
                      <c:pt idx="279">
                        <c:v>10</c:v>
                      </c:pt>
                      <c:pt idx="280">
                        <c:v>10</c:v>
                      </c:pt>
                      <c:pt idx="281">
                        <c:v>7</c:v>
                      </c:pt>
                      <c:pt idx="282">
                        <c:v>3</c:v>
                      </c:pt>
                      <c:pt idx="283">
                        <c:v>10</c:v>
                      </c:pt>
                      <c:pt idx="284">
                        <c:v>1</c:v>
                      </c:pt>
                      <c:pt idx="285">
                        <c:v>2</c:v>
                      </c:pt>
                      <c:pt idx="286">
                        <c:v>0</c:v>
                      </c:pt>
                      <c:pt idx="287">
                        <c:v>8</c:v>
                      </c:pt>
                      <c:pt idx="288">
                        <c:v>5</c:v>
                      </c:pt>
                      <c:pt idx="289">
                        <c:v>1</c:v>
                      </c:pt>
                      <c:pt idx="290">
                        <c:v>10</c:v>
                      </c:pt>
                      <c:pt idx="291">
                        <c:v>2</c:v>
                      </c:pt>
                      <c:pt idx="292">
                        <c:v>10</c:v>
                      </c:pt>
                      <c:pt idx="293">
                        <c:v>7</c:v>
                      </c:pt>
                      <c:pt idx="294">
                        <c:v>3</c:v>
                      </c:pt>
                      <c:pt idx="295">
                        <c:v>6</c:v>
                      </c:pt>
                      <c:pt idx="296">
                        <c:v>10</c:v>
                      </c:pt>
                      <c:pt idx="297">
                        <c:v>3</c:v>
                      </c:pt>
                      <c:pt idx="298">
                        <c:v>4</c:v>
                      </c:pt>
                      <c:pt idx="299">
                        <c:v>5</c:v>
                      </c:pt>
                      <c:pt idx="300">
                        <c:v>6</c:v>
                      </c:pt>
                      <c:pt idx="301">
                        <c:v>10</c:v>
                      </c:pt>
                      <c:pt idx="302">
                        <c:v>9</c:v>
                      </c:pt>
                      <c:pt idx="303">
                        <c:v>4</c:v>
                      </c:pt>
                      <c:pt idx="304">
                        <c:v>1</c:v>
                      </c:pt>
                      <c:pt idx="305">
                        <c:v>5</c:v>
                      </c:pt>
                      <c:pt idx="306">
                        <c:v>4</c:v>
                      </c:pt>
                      <c:pt idx="307">
                        <c:v>0</c:v>
                      </c:pt>
                      <c:pt idx="308">
                        <c:v>5</c:v>
                      </c:pt>
                      <c:pt idx="309">
                        <c:v>9</c:v>
                      </c:pt>
                      <c:pt idx="310">
                        <c:v>3</c:v>
                      </c:pt>
                      <c:pt idx="311">
                        <c:v>1</c:v>
                      </c:pt>
                      <c:pt idx="312">
                        <c:v>6</c:v>
                      </c:pt>
                      <c:pt idx="313">
                        <c:v>1</c:v>
                      </c:pt>
                      <c:pt idx="314">
                        <c:v>2</c:v>
                      </c:pt>
                      <c:pt idx="315">
                        <c:v>7</c:v>
                      </c:pt>
                      <c:pt idx="316">
                        <c:v>1</c:v>
                      </c:pt>
                      <c:pt idx="317">
                        <c:v>7</c:v>
                      </c:pt>
                      <c:pt idx="318">
                        <c:v>3</c:v>
                      </c:pt>
                      <c:pt idx="319">
                        <c:v>5</c:v>
                      </c:pt>
                      <c:pt idx="320">
                        <c:v>7</c:v>
                      </c:pt>
                      <c:pt idx="321">
                        <c:v>7</c:v>
                      </c:pt>
                      <c:pt idx="322">
                        <c:v>10</c:v>
                      </c:pt>
                      <c:pt idx="323">
                        <c:v>10</c:v>
                      </c:pt>
                      <c:pt idx="324">
                        <c:v>9</c:v>
                      </c:pt>
                      <c:pt idx="325">
                        <c:v>9</c:v>
                      </c:pt>
                      <c:pt idx="326">
                        <c:v>10</c:v>
                      </c:pt>
                      <c:pt idx="327">
                        <c:v>8</c:v>
                      </c:pt>
                      <c:pt idx="328">
                        <c:v>10</c:v>
                      </c:pt>
                      <c:pt idx="329">
                        <c:v>9</c:v>
                      </c:pt>
                      <c:pt idx="330">
                        <c:v>6</c:v>
                      </c:pt>
                      <c:pt idx="331">
                        <c:v>8</c:v>
                      </c:pt>
                      <c:pt idx="332">
                        <c:v>10</c:v>
                      </c:pt>
                      <c:pt idx="333">
                        <c:v>8</c:v>
                      </c:pt>
                      <c:pt idx="334">
                        <c:v>8</c:v>
                      </c:pt>
                      <c:pt idx="335">
                        <c:v>7</c:v>
                      </c:pt>
                      <c:pt idx="336">
                        <c:v>3</c:v>
                      </c:pt>
                      <c:pt idx="337">
                        <c:v>9</c:v>
                      </c:pt>
                      <c:pt idx="338">
                        <c:v>9</c:v>
                      </c:pt>
                      <c:pt idx="339">
                        <c:v>10</c:v>
                      </c:pt>
                      <c:pt idx="340">
                        <c:v>2</c:v>
                      </c:pt>
                      <c:pt idx="341">
                        <c:v>9</c:v>
                      </c:pt>
                      <c:pt idx="342">
                        <c:v>3</c:v>
                      </c:pt>
                      <c:pt idx="343">
                        <c:v>7</c:v>
                      </c:pt>
                      <c:pt idx="344">
                        <c:v>3</c:v>
                      </c:pt>
                      <c:pt idx="345">
                        <c:v>1</c:v>
                      </c:pt>
                      <c:pt idx="346">
                        <c:v>4</c:v>
                      </c:pt>
                      <c:pt idx="347">
                        <c:v>7</c:v>
                      </c:pt>
                      <c:pt idx="348">
                        <c:v>1</c:v>
                      </c:pt>
                      <c:pt idx="349">
                        <c:v>0</c:v>
                      </c:pt>
                      <c:pt idx="350">
                        <c:v>2</c:v>
                      </c:pt>
                      <c:pt idx="351">
                        <c:v>4</c:v>
                      </c:pt>
                      <c:pt idx="352">
                        <c:v>7</c:v>
                      </c:pt>
                      <c:pt idx="353">
                        <c:v>7</c:v>
                      </c:pt>
                      <c:pt idx="354">
                        <c:v>1</c:v>
                      </c:pt>
                      <c:pt idx="355">
                        <c:v>1</c:v>
                      </c:pt>
                      <c:pt idx="356">
                        <c:v>9</c:v>
                      </c:pt>
                      <c:pt idx="357">
                        <c:v>7</c:v>
                      </c:pt>
                      <c:pt idx="358">
                        <c:v>4</c:v>
                      </c:pt>
                      <c:pt idx="359">
                        <c:v>10</c:v>
                      </c:pt>
                      <c:pt idx="360">
                        <c:v>5</c:v>
                      </c:pt>
                      <c:pt idx="361">
                        <c:v>10</c:v>
                      </c:pt>
                      <c:pt idx="362">
                        <c:v>3</c:v>
                      </c:pt>
                      <c:pt idx="363">
                        <c:v>10</c:v>
                      </c:pt>
                      <c:pt idx="364">
                        <c:v>6</c:v>
                      </c:pt>
                      <c:pt idx="365">
                        <c:v>1</c:v>
                      </c:pt>
                      <c:pt idx="366">
                        <c:v>6</c:v>
                      </c:pt>
                      <c:pt idx="367">
                        <c:v>2</c:v>
                      </c:pt>
                      <c:pt idx="368">
                        <c:v>9</c:v>
                      </c:pt>
                      <c:pt idx="369">
                        <c:v>7</c:v>
                      </c:pt>
                      <c:pt idx="370">
                        <c:v>6</c:v>
                      </c:pt>
                      <c:pt idx="371">
                        <c:v>10</c:v>
                      </c:pt>
                      <c:pt idx="372">
                        <c:v>7</c:v>
                      </c:pt>
                      <c:pt idx="373">
                        <c:v>8</c:v>
                      </c:pt>
                      <c:pt idx="374">
                        <c:v>8</c:v>
                      </c:pt>
                      <c:pt idx="375">
                        <c:v>0</c:v>
                      </c:pt>
                      <c:pt idx="376">
                        <c:v>9</c:v>
                      </c:pt>
                      <c:pt idx="377">
                        <c:v>0</c:v>
                      </c:pt>
                      <c:pt idx="378">
                        <c:v>2</c:v>
                      </c:pt>
                      <c:pt idx="379">
                        <c:v>0</c:v>
                      </c:pt>
                      <c:pt idx="380">
                        <c:v>7</c:v>
                      </c:pt>
                      <c:pt idx="381">
                        <c:v>2</c:v>
                      </c:pt>
                      <c:pt idx="382">
                        <c:v>8</c:v>
                      </c:pt>
                      <c:pt idx="383">
                        <c:v>1</c:v>
                      </c:pt>
                      <c:pt idx="384">
                        <c:v>7</c:v>
                      </c:pt>
                      <c:pt idx="385">
                        <c:v>7</c:v>
                      </c:pt>
                      <c:pt idx="386">
                        <c:v>3</c:v>
                      </c:pt>
                      <c:pt idx="387">
                        <c:v>2</c:v>
                      </c:pt>
                      <c:pt idx="388">
                        <c:v>1</c:v>
                      </c:pt>
                      <c:pt idx="389">
                        <c:v>8</c:v>
                      </c:pt>
                      <c:pt idx="390">
                        <c:v>8</c:v>
                      </c:pt>
                      <c:pt idx="391">
                        <c:v>7</c:v>
                      </c:pt>
                      <c:pt idx="392">
                        <c:v>5</c:v>
                      </c:pt>
                      <c:pt idx="393">
                        <c:v>2</c:v>
                      </c:pt>
                      <c:pt idx="394">
                        <c:v>8</c:v>
                      </c:pt>
                      <c:pt idx="395">
                        <c:v>6</c:v>
                      </c:pt>
                      <c:pt idx="396">
                        <c:v>1</c:v>
                      </c:pt>
                      <c:pt idx="397">
                        <c:v>0</c:v>
                      </c:pt>
                      <c:pt idx="398">
                        <c:v>9</c:v>
                      </c:pt>
                      <c:pt idx="399">
                        <c:v>6</c:v>
                      </c:pt>
                      <c:pt idx="400">
                        <c:v>5</c:v>
                      </c:pt>
                      <c:pt idx="401">
                        <c:v>5</c:v>
                      </c:pt>
                      <c:pt idx="402">
                        <c:v>10</c:v>
                      </c:pt>
                      <c:pt idx="403">
                        <c:v>3</c:v>
                      </c:pt>
                      <c:pt idx="404">
                        <c:v>7</c:v>
                      </c:pt>
                      <c:pt idx="405">
                        <c:v>10</c:v>
                      </c:pt>
                      <c:pt idx="406">
                        <c:v>2</c:v>
                      </c:pt>
                      <c:pt idx="407">
                        <c:v>9</c:v>
                      </c:pt>
                      <c:pt idx="408">
                        <c:v>8</c:v>
                      </c:pt>
                      <c:pt idx="409">
                        <c:v>4</c:v>
                      </c:pt>
                      <c:pt idx="410">
                        <c:v>1</c:v>
                      </c:pt>
                      <c:pt idx="411">
                        <c:v>2</c:v>
                      </c:pt>
                      <c:pt idx="412">
                        <c:v>7</c:v>
                      </c:pt>
                      <c:pt idx="413">
                        <c:v>4</c:v>
                      </c:pt>
                      <c:pt idx="414">
                        <c:v>4</c:v>
                      </c:pt>
                      <c:pt idx="415">
                        <c:v>6</c:v>
                      </c:pt>
                      <c:pt idx="416">
                        <c:v>10</c:v>
                      </c:pt>
                      <c:pt idx="417">
                        <c:v>8</c:v>
                      </c:pt>
                      <c:pt idx="418">
                        <c:v>7</c:v>
                      </c:pt>
                      <c:pt idx="419">
                        <c:v>6</c:v>
                      </c:pt>
                      <c:pt idx="420">
                        <c:v>8</c:v>
                      </c:pt>
                      <c:pt idx="421">
                        <c:v>4</c:v>
                      </c:pt>
                      <c:pt idx="422">
                        <c:v>5</c:v>
                      </c:pt>
                      <c:pt idx="423">
                        <c:v>1</c:v>
                      </c:pt>
                      <c:pt idx="424">
                        <c:v>3</c:v>
                      </c:pt>
                      <c:pt idx="425">
                        <c:v>3</c:v>
                      </c:pt>
                      <c:pt idx="426">
                        <c:v>3</c:v>
                      </c:pt>
                      <c:pt idx="427">
                        <c:v>5</c:v>
                      </c:pt>
                      <c:pt idx="428">
                        <c:v>0</c:v>
                      </c:pt>
                      <c:pt idx="429">
                        <c:v>7</c:v>
                      </c:pt>
                      <c:pt idx="430">
                        <c:v>6</c:v>
                      </c:pt>
                      <c:pt idx="431">
                        <c:v>4</c:v>
                      </c:pt>
                      <c:pt idx="432">
                        <c:v>8</c:v>
                      </c:pt>
                      <c:pt idx="433">
                        <c:v>6</c:v>
                      </c:pt>
                      <c:pt idx="434">
                        <c:v>8</c:v>
                      </c:pt>
                      <c:pt idx="435">
                        <c:v>4</c:v>
                      </c:pt>
                      <c:pt idx="436">
                        <c:v>5</c:v>
                      </c:pt>
                      <c:pt idx="437">
                        <c:v>4</c:v>
                      </c:pt>
                      <c:pt idx="438">
                        <c:v>8</c:v>
                      </c:pt>
                      <c:pt idx="439">
                        <c:v>1</c:v>
                      </c:pt>
                      <c:pt idx="440">
                        <c:v>7</c:v>
                      </c:pt>
                      <c:pt idx="441">
                        <c:v>10</c:v>
                      </c:pt>
                      <c:pt idx="442">
                        <c:v>5</c:v>
                      </c:pt>
                      <c:pt idx="443">
                        <c:v>6</c:v>
                      </c:pt>
                      <c:pt idx="444">
                        <c:v>4</c:v>
                      </c:pt>
                      <c:pt idx="445">
                        <c:v>6</c:v>
                      </c:pt>
                      <c:pt idx="446">
                        <c:v>10</c:v>
                      </c:pt>
                      <c:pt idx="447">
                        <c:v>0</c:v>
                      </c:pt>
                      <c:pt idx="448">
                        <c:v>7</c:v>
                      </c:pt>
                      <c:pt idx="449">
                        <c:v>0</c:v>
                      </c:pt>
                      <c:pt idx="450">
                        <c:v>8</c:v>
                      </c:pt>
                      <c:pt idx="451">
                        <c:v>6</c:v>
                      </c:pt>
                      <c:pt idx="452">
                        <c:v>3</c:v>
                      </c:pt>
                      <c:pt idx="453">
                        <c:v>10</c:v>
                      </c:pt>
                      <c:pt idx="454">
                        <c:v>8</c:v>
                      </c:pt>
                      <c:pt idx="455">
                        <c:v>2</c:v>
                      </c:pt>
                      <c:pt idx="456">
                        <c:v>5</c:v>
                      </c:pt>
                      <c:pt idx="457">
                        <c:v>0</c:v>
                      </c:pt>
                      <c:pt idx="458">
                        <c:v>0</c:v>
                      </c:pt>
                      <c:pt idx="459">
                        <c:v>2</c:v>
                      </c:pt>
                      <c:pt idx="460">
                        <c:v>5</c:v>
                      </c:pt>
                      <c:pt idx="461">
                        <c:v>8</c:v>
                      </c:pt>
                      <c:pt idx="462">
                        <c:v>7</c:v>
                      </c:pt>
                      <c:pt idx="463">
                        <c:v>4</c:v>
                      </c:pt>
                      <c:pt idx="464">
                        <c:v>2</c:v>
                      </c:pt>
                      <c:pt idx="465">
                        <c:v>7</c:v>
                      </c:pt>
                      <c:pt idx="466">
                        <c:v>7</c:v>
                      </c:pt>
                      <c:pt idx="467">
                        <c:v>2</c:v>
                      </c:pt>
                      <c:pt idx="468">
                        <c:v>5</c:v>
                      </c:pt>
                      <c:pt idx="469">
                        <c:v>6</c:v>
                      </c:pt>
                      <c:pt idx="470">
                        <c:v>8</c:v>
                      </c:pt>
                      <c:pt idx="471">
                        <c:v>0</c:v>
                      </c:pt>
                      <c:pt idx="472">
                        <c:v>0</c:v>
                      </c:pt>
                      <c:pt idx="473">
                        <c:v>2</c:v>
                      </c:pt>
                      <c:pt idx="474">
                        <c:v>3</c:v>
                      </c:pt>
                      <c:pt idx="475">
                        <c:v>10</c:v>
                      </c:pt>
                      <c:pt idx="476">
                        <c:v>3</c:v>
                      </c:pt>
                      <c:pt idx="477">
                        <c:v>3</c:v>
                      </c:pt>
                      <c:pt idx="478">
                        <c:v>9</c:v>
                      </c:pt>
                      <c:pt idx="479">
                        <c:v>8</c:v>
                      </c:pt>
                      <c:pt idx="480">
                        <c:v>6</c:v>
                      </c:pt>
                      <c:pt idx="481">
                        <c:v>2</c:v>
                      </c:pt>
                      <c:pt idx="482">
                        <c:v>7</c:v>
                      </c:pt>
                      <c:pt idx="483">
                        <c:v>7</c:v>
                      </c:pt>
                      <c:pt idx="484">
                        <c:v>2</c:v>
                      </c:pt>
                      <c:pt idx="485">
                        <c:v>1</c:v>
                      </c:pt>
                      <c:pt idx="486">
                        <c:v>8</c:v>
                      </c:pt>
                      <c:pt idx="487">
                        <c:v>8</c:v>
                      </c:pt>
                      <c:pt idx="488">
                        <c:v>7</c:v>
                      </c:pt>
                      <c:pt idx="489">
                        <c:v>0</c:v>
                      </c:pt>
                      <c:pt idx="490">
                        <c:v>0</c:v>
                      </c:pt>
                      <c:pt idx="491">
                        <c:v>6</c:v>
                      </c:pt>
                      <c:pt idx="492">
                        <c:v>1</c:v>
                      </c:pt>
                      <c:pt idx="493">
                        <c:v>0</c:v>
                      </c:pt>
                      <c:pt idx="494">
                        <c:v>7</c:v>
                      </c:pt>
                      <c:pt idx="495">
                        <c:v>9</c:v>
                      </c:pt>
                      <c:pt idx="496">
                        <c:v>6</c:v>
                      </c:pt>
                      <c:pt idx="497">
                        <c:v>4</c:v>
                      </c:pt>
                      <c:pt idx="498">
                        <c:v>8</c:v>
                      </c:pt>
                      <c:pt idx="499">
                        <c:v>10</c:v>
                      </c:pt>
                    </c:numCache>
                  </c:numRef>
                </c:yVal>
                <c:smooth val="0"/>
                <c:extLst>
                  <c:ext xmlns:c16="http://schemas.microsoft.com/office/drawing/2014/chart" uri="{C3380CC4-5D6E-409C-BE32-E72D297353CC}">
                    <c16:uniqueId val="{00000004-3FBD-4550-9CC1-830AAFDA50EF}"/>
                  </c:ext>
                </c:extLst>
              </c15:ser>
            </c15:filteredScatterSeries>
            <c15:filteredScatterSeries>
              <c15:ser>
                <c:idx val="3"/>
                <c:order val="3"/>
                <c:tx>
                  <c:strRef>
                    <c:extLst>
                      <c:ext xmlns:c15="http://schemas.microsoft.com/office/drawing/2012/chart" uri="{02D57815-91ED-43cb-92C2-25804820EDAC}">
                        <c15:formulaRef>
                          <c15:sqref>User_data!$G$2</c15:sqref>
                        </c15:formulaRef>
                      </c:ext>
                    </c:extLst>
                    <c:strCache>
                      <c:ptCount val="1"/>
                      <c:pt idx="0">
                        <c:v>Saves</c:v>
                      </c:pt>
                    </c:strCache>
                  </c:strRef>
                </c:tx>
                <c:spPr>
                  <a:ln w="38100" cap="rnd">
                    <a:noFill/>
                    <a:round/>
                  </a:ln>
                  <a:effectLst/>
                </c:spPr>
                <c:marker>
                  <c:symbol val="circle"/>
                  <c:size val="5"/>
                  <c:spPr>
                    <a:solidFill>
                      <a:schemeClr val="accent4"/>
                    </a:solidFill>
                    <a:ln w="9525">
                      <a:solidFill>
                        <a:schemeClr val="accent4"/>
                      </a:solidFill>
                    </a:ln>
                    <a:effectLst/>
                  </c:spPr>
                </c:marker>
                <c:xVal>
                  <c:multiLvlStrRef>
                    <c:extLst>
                      <c:ext xmlns:c15="http://schemas.microsoft.com/office/drawing/2012/chart" uri="{02D57815-91ED-43cb-92C2-25804820EDAC}">
                        <c15:formulaRef>
                          <c15:sqref>User_data!$A$3:$C$502</c15:sqref>
                        </c15:formulaRef>
                      </c:ext>
                    </c:extLst>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extLst>
                      <c:ext xmlns:c15="http://schemas.microsoft.com/office/drawing/2012/chart" uri="{02D57815-91ED-43cb-92C2-25804820EDAC}">
                        <c15:formulaRef>
                          <c15:sqref>User_data!$G$3:$G$502</c15:sqref>
                        </c15:formulaRef>
                      </c:ext>
                    </c:extLst>
                    <c:numCache>
                      <c:formatCode>General</c:formatCode>
                      <c:ptCount val="500"/>
                      <c:pt idx="0">
                        <c:v>5</c:v>
                      </c:pt>
                      <c:pt idx="1">
                        <c:v>5</c:v>
                      </c:pt>
                      <c:pt idx="2">
                        <c:v>0</c:v>
                      </c:pt>
                      <c:pt idx="3">
                        <c:v>3</c:v>
                      </c:pt>
                      <c:pt idx="4">
                        <c:v>4</c:v>
                      </c:pt>
                      <c:pt idx="5">
                        <c:v>4</c:v>
                      </c:pt>
                      <c:pt idx="6">
                        <c:v>0</c:v>
                      </c:pt>
                      <c:pt idx="7">
                        <c:v>4</c:v>
                      </c:pt>
                      <c:pt idx="8">
                        <c:v>4</c:v>
                      </c:pt>
                      <c:pt idx="9">
                        <c:v>4</c:v>
                      </c:pt>
                      <c:pt idx="10">
                        <c:v>1</c:v>
                      </c:pt>
                      <c:pt idx="11">
                        <c:v>0</c:v>
                      </c:pt>
                      <c:pt idx="12">
                        <c:v>5</c:v>
                      </c:pt>
                      <c:pt idx="13">
                        <c:v>3</c:v>
                      </c:pt>
                      <c:pt idx="14">
                        <c:v>5</c:v>
                      </c:pt>
                      <c:pt idx="15">
                        <c:v>0</c:v>
                      </c:pt>
                      <c:pt idx="16">
                        <c:v>0</c:v>
                      </c:pt>
                      <c:pt idx="17">
                        <c:v>5</c:v>
                      </c:pt>
                      <c:pt idx="18">
                        <c:v>1</c:v>
                      </c:pt>
                      <c:pt idx="19">
                        <c:v>4</c:v>
                      </c:pt>
                      <c:pt idx="20">
                        <c:v>4</c:v>
                      </c:pt>
                      <c:pt idx="21">
                        <c:v>2</c:v>
                      </c:pt>
                      <c:pt idx="22">
                        <c:v>0</c:v>
                      </c:pt>
                      <c:pt idx="23">
                        <c:v>4</c:v>
                      </c:pt>
                      <c:pt idx="24">
                        <c:v>1</c:v>
                      </c:pt>
                      <c:pt idx="25">
                        <c:v>4</c:v>
                      </c:pt>
                      <c:pt idx="26">
                        <c:v>2</c:v>
                      </c:pt>
                      <c:pt idx="27">
                        <c:v>4</c:v>
                      </c:pt>
                      <c:pt idx="28">
                        <c:v>1</c:v>
                      </c:pt>
                      <c:pt idx="29">
                        <c:v>3</c:v>
                      </c:pt>
                      <c:pt idx="30">
                        <c:v>2</c:v>
                      </c:pt>
                      <c:pt idx="31">
                        <c:v>3</c:v>
                      </c:pt>
                      <c:pt idx="32">
                        <c:v>1</c:v>
                      </c:pt>
                      <c:pt idx="33">
                        <c:v>4</c:v>
                      </c:pt>
                      <c:pt idx="34">
                        <c:v>1</c:v>
                      </c:pt>
                      <c:pt idx="35">
                        <c:v>5</c:v>
                      </c:pt>
                      <c:pt idx="36">
                        <c:v>2</c:v>
                      </c:pt>
                      <c:pt idx="37">
                        <c:v>1</c:v>
                      </c:pt>
                      <c:pt idx="38">
                        <c:v>0</c:v>
                      </c:pt>
                      <c:pt idx="39">
                        <c:v>1</c:v>
                      </c:pt>
                      <c:pt idx="40">
                        <c:v>2</c:v>
                      </c:pt>
                      <c:pt idx="41">
                        <c:v>5</c:v>
                      </c:pt>
                      <c:pt idx="42">
                        <c:v>2</c:v>
                      </c:pt>
                      <c:pt idx="43">
                        <c:v>0</c:v>
                      </c:pt>
                      <c:pt idx="44">
                        <c:v>1</c:v>
                      </c:pt>
                      <c:pt idx="45">
                        <c:v>0</c:v>
                      </c:pt>
                      <c:pt idx="46">
                        <c:v>3</c:v>
                      </c:pt>
                      <c:pt idx="47">
                        <c:v>0</c:v>
                      </c:pt>
                      <c:pt idx="48">
                        <c:v>3</c:v>
                      </c:pt>
                      <c:pt idx="49">
                        <c:v>4</c:v>
                      </c:pt>
                      <c:pt idx="50">
                        <c:v>3</c:v>
                      </c:pt>
                      <c:pt idx="51">
                        <c:v>5</c:v>
                      </c:pt>
                      <c:pt idx="52">
                        <c:v>5</c:v>
                      </c:pt>
                      <c:pt idx="53">
                        <c:v>3</c:v>
                      </c:pt>
                      <c:pt idx="54">
                        <c:v>5</c:v>
                      </c:pt>
                      <c:pt idx="55">
                        <c:v>4</c:v>
                      </c:pt>
                      <c:pt idx="56">
                        <c:v>2</c:v>
                      </c:pt>
                      <c:pt idx="57">
                        <c:v>3</c:v>
                      </c:pt>
                      <c:pt idx="58">
                        <c:v>3</c:v>
                      </c:pt>
                      <c:pt idx="59">
                        <c:v>1</c:v>
                      </c:pt>
                      <c:pt idx="60">
                        <c:v>2</c:v>
                      </c:pt>
                      <c:pt idx="61">
                        <c:v>0</c:v>
                      </c:pt>
                      <c:pt idx="62">
                        <c:v>3</c:v>
                      </c:pt>
                      <c:pt idx="63">
                        <c:v>1</c:v>
                      </c:pt>
                      <c:pt idx="64">
                        <c:v>2</c:v>
                      </c:pt>
                      <c:pt idx="65">
                        <c:v>3</c:v>
                      </c:pt>
                      <c:pt idx="66">
                        <c:v>5</c:v>
                      </c:pt>
                      <c:pt idx="67">
                        <c:v>0</c:v>
                      </c:pt>
                      <c:pt idx="68">
                        <c:v>2</c:v>
                      </c:pt>
                      <c:pt idx="69">
                        <c:v>0</c:v>
                      </c:pt>
                      <c:pt idx="70">
                        <c:v>5</c:v>
                      </c:pt>
                      <c:pt idx="71">
                        <c:v>0</c:v>
                      </c:pt>
                      <c:pt idx="72">
                        <c:v>1</c:v>
                      </c:pt>
                      <c:pt idx="73">
                        <c:v>3</c:v>
                      </c:pt>
                      <c:pt idx="74">
                        <c:v>3</c:v>
                      </c:pt>
                      <c:pt idx="75">
                        <c:v>2</c:v>
                      </c:pt>
                      <c:pt idx="76">
                        <c:v>4</c:v>
                      </c:pt>
                      <c:pt idx="77">
                        <c:v>1</c:v>
                      </c:pt>
                      <c:pt idx="78">
                        <c:v>5</c:v>
                      </c:pt>
                      <c:pt idx="79">
                        <c:v>5</c:v>
                      </c:pt>
                      <c:pt idx="80">
                        <c:v>3</c:v>
                      </c:pt>
                      <c:pt idx="81">
                        <c:v>0</c:v>
                      </c:pt>
                      <c:pt idx="82">
                        <c:v>3</c:v>
                      </c:pt>
                      <c:pt idx="83">
                        <c:v>2</c:v>
                      </c:pt>
                      <c:pt idx="84">
                        <c:v>5</c:v>
                      </c:pt>
                      <c:pt idx="85">
                        <c:v>4</c:v>
                      </c:pt>
                      <c:pt idx="86">
                        <c:v>3</c:v>
                      </c:pt>
                      <c:pt idx="87">
                        <c:v>2</c:v>
                      </c:pt>
                      <c:pt idx="88">
                        <c:v>4</c:v>
                      </c:pt>
                      <c:pt idx="89">
                        <c:v>3</c:v>
                      </c:pt>
                      <c:pt idx="90">
                        <c:v>4</c:v>
                      </c:pt>
                      <c:pt idx="91">
                        <c:v>1</c:v>
                      </c:pt>
                      <c:pt idx="92">
                        <c:v>2</c:v>
                      </c:pt>
                      <c:pt idx="93">
                        <c:v>2</c:v>
                      </c:pt>
                      <c:pt idx="94">
                        <c:v>4</c:v>
                      </c:pt>
                      <c:pt idx="95">
                        <c:v>3</c:v>
                      </c:pt>
                      <c:pt idx="96">
                        <c:v>5</c:v>
                      </c:pt>
                      <c:pt idx="97">
                        <c:v>1</c:v>
                      </c:pt>
                      <c:pt idx="98">
                        <c:v>1</c:v>
                      </c:pt>
                      <c:pt idx="99">
                        <c:v>3</c:v>
                      </c:pt>
                      <c:pt idx="100">
                        <c:v>0</c:v>
                      </c:pt>
                      <c:pt idx="101">
                        <c:v>3</c:v>
                      </c:pt>
                      <c:pt idx="102">
                        <c:v>1</c:v>
                      </c:pt>
                      <c:pt idx="103">
                        <c:v>3</c:v>
                      </c:pt>
                      <c:pt idx="104">
                        <c:v>4</c:v>
                      </c:pt>
                      <c:pt idx="105">
                        <c:v>0</c:v>
                      </c:pt>
                      <c:pt idx="106">
                        <c:v>5</c:v>
                      </c:pt>
                      <c:pt idx="107">
                        <c:v>0</c:v>
                      </c:pt>
                      <c:pt idx="108">
                        <c:v>4</c:v>
                      </c:pt>
                      <c:pt idx="109">
                        <c:v>1</c:v>
                      </c:pt>
                      <c:pt idx="110">
                        <c:v>5</c:v>
                      </c:pt>
                      <c:pt idx="111">
                        <c:v>3</c:v>
                      </c:pt>
                      <c:pt idx="112">
                        <c:v>4</c:v>
                      </c:pt>
                      <c:pt idx="113">
                        <c:v>4</c:v>
                      </c:pt>
                      <c:pt idx="114">
                        <c:v>1</c:v>
                      </c:pt>
                      <c:pt idx="115">
                        <c:v>3</c:v>
                      </c:pt>
                      <c:pt idx="116">
                        <c:v>4</c:v>
                      </c:pt>
                      <c:pt idx="117">
                        <c:v>4</c:v>
                      </c:pt>
                      <c:pt idx="118">
                        <c:v>5</c:v>
                      </c:pt>
                      <c:pt idx="119">
                        <c:v>5</c:v>
                      </c:pt>
                      <c:pt idx="120">
                        <c:v>1</c:v>
                      </c:pt>
                      <c:pt idx="121">
                        <c:v>5</c:v>
                      </c:pt>
                      <c:pt idx="122">
                        <c:v>4</c:v>
                      </c:pt>
                      <c:pt idx="123">
                        <c:v>4</c:v>
                      </c:pt>
                      <c:pt idx="124">
                        <c:v>5</c:v>
                      </c:pt>
                      <c:pt idx="125">
                        <c:v>2</c:v>
                      </c:pt>
                      <c:pt idx="126">
                        <c:v>2</c:v>
                      </c:pt>
                      <c:pt idx="127">
                        <c:v>2</c:v>
                      </c:pt>
                      <c:pt idx="128">
                        <c:v>3</c:v>
                      </c:pt>
                      <c:pt idx="129">
                        <c:v>5</c:v>
                      </c:pt>
                      <c:pt idx="130">
                        <c:v>5</c:v>
                      </c:pt>
                      <c:pt idx="131">
                        <c:v>4</c:v>
                      </c:pt>
                      <c:pt idx="132">
                        <c:v>5</c:v>
                      </c:pt>
                      <c:pt idx="133">
                        <c:v>2</c:v>
                      </c:pt>
                      <c:pt idx="134">
                        <c:v>3</c:v>
                      </c:pt>
                      <c:pt idx="135">
                        <c:v>2</c:v>
                      </c:pt>
                      <c:pt idx="136">
                        <c:v>5</c:v>
                      </c:pt>
                      <c:pt idx="137">
                        <c:v>3</c:v>
                      </c:pt>
                      <c:pt idx="138">
                        <c:v>4</c:v>
                      </c:pt>
                      <c:pt idx="139">
                        <c:v>3</c:v>
                      </c:pt>
                      <c:pt idx="140">
                        <c:v>0</c:v>
                      </c:pt>
                      <c:pt idx="141">
                        <c:v>0</c:v>
                      </c:pt>
                      <c:pt idx="142">
                        <c:v>0</c:v>
                      </c:pt>
                      <c:pt idx="143">
                        <c:v>0</c:v>
                      </c:pt>
                      <c:pt idx="144">
                        <c:v>3</c:v>
                      </c:pt>
                      <c:pt idx="145">
                        <c:v>2</c:v>
                      </c:pt>
                      <c:pt idx="146">
                        <c:v>3</c:v>
                      </c:pt>
                      <c:pt idx="147">
                        <c:v>5</c:v>
                      </c:pt>
                      <c:pt idx="148">
                        <c:v>3</c:v>
                      </c:pt>
                      <c:pt idx="149">
                        <c:v>3</c:v>
                      </c:pt>
                      <c:pt idx="150">
                        <c:v>2</c:v>
                      </c:pt>
                      <c:pt idx="151">
                        <c:v>4</c:v>
                      </c:pt>
                      <c:pt idx="152">
                        <c:v>3</c:v>
                      </c:pt>
                      <c:pt idx="153">
                        <c:v>5</c:v>
                      </c:pt>
                      <c:pt idx="154">
                        <c:v>5</c:v>
                      </c:pt>
                      <c:pt idx="155">
                        <c:v>3</c:v>
                      </c:pt>
                      <c:pt idx="156">
                        <c:v>3</c:v>
                      </c:pt>
                      <c:pt idx="157">
                        <c:v>3</c:v>
                      </c:pt>
                      <c:pt idx="158">
                        <c:v>0</c:v>
                      </c:pt>
                      <c:pt idx="159">
                        <c:v>1</c:v>
                      </c:pt>
                      <c:pt idx="160">
                        <c:v>3</c:v>
                      </c:pt>
                      <c:pt idx="161">
                        <c:v>1</c:v>
                      </c:pt>
                      <c:pt idx="162">
                        <c:v>3</c:v>
                      </c:pt>
                      <c:pt idx="163">
                        <c:v>3</c:v>
                      </c:pt>
                      <c:pt idx="164">
                        <c:v>2</c:v>
                      </c:pt>
                      <c:pt idx="165">
                        <c:v>4</c:v>
                      </c:pt>
                      <c:pt idx="166">
                        <c:v>1</c:v>
                      </c:pt>
                      <c:pt idx="167">
                        <c:v>4</c:v>
                      </c:pt>
                      <c:pt idx="168">
                        <c:v>2</c:v>
                      </c:pt>
                      <c:pt idx="169">
                        <c:v>0</c:v>
                      </c:pt>
                      <c:pt idx="170">
                        <c:v>3</c:v>
                      </c:pt>
                      <c:pt idx="171">
                        <c:v>1</c:v>
                      </c:pt>
                      <c:pt idx="172">
                        <c:v>1</c:v>
                      </c:pt>
                      <c:pt idx="173">
                        <c:v>5</c:v>
                      </c:pt>
                      <c:pt idx="174">
                        <c:v>4</c:v>
                      </c:pt>
                      <c:pt idx="175">
                        <c:v>0</c:v>
                      </c:pt>
                      <c:pt idx="176">
                        <c:v>3</c:v>
                      </c:pt>
                      <c:pt idx="177">
                        <c:v>2</c:v>
                      </c:pt>
                      <c:pt idx="178">
                        <c:v>0</c:v>
                      </c:pt>
                      <c:pt idx="179">
                        <c:v>3</c:v>
                      </c:pt>
                      <c:pt idx="180">
                        <c:v>4</c:v>
                      </c:pt>
                      <c:pt idx="181">
                        <c:v>4</c:v>
                      </c:pt>
                      <c:pt idx="182">
                        <c:v>5</c:v>
                      </c:pt>
                      <c:pt idx="183">
                        <c:v>3</c:v>
                      </c:pt>
                      <c:pt idx="184">
                        <c:v>3</c:v>
                      </c:pt>
                      <c:pt idx="185">
                        <c:v>0</c:v>
                      </c:pt>
                      <c:pt idx="186">
                        <c:v>5</c:v>
                      </c:pt>
                      <c:pt idx="187">
                        <c:v>1</c:v>
                      </c:pt>
                      <c:pt idx="188">
                        <c:v>0</c:v>
                      </c:pt>
                      <c:pt idx="189">
                        <c:v>2</c:v>
                      </c:pt>
                      <c:pt idx="190">
                        <c:v>1</c:v>
                      </c:pt>
                      <c:pt idx="191">
                        <c:v>5</c:v>
                      </c:pt>
                      <c:pt idx="192">
                        <c:v>3</c:v>
                      </c:pt>
                      <c:pt idx="193">
                        <c:v>3</c:v>
                      </c:pt>
                      <c:pt idx="194">
                        <c:v>1</c:v>
                      </c:pt>
                      <c:pt idx="195">
                        <c:v>2</c:v>
                      </c:pt>
                      <c:pt idx="196">
                        <c:v>0</c:v>
                      </c:pt>
                      <c:pt idx="197">
                        <c:v>4</c:v>
                      </c:pt>
                      <c:pt idx="198">
                        <c:v>2</c:v>
                      </c:pt>
                      <c:pt idx="199">
                        <c:v>5</c:v>
                      </c:pt>
                      <c:pt idx="200">
                        <c:v>5</c:v>
                      </c:pt>
                      <c:pt idx="201">
                        <c:v>2</c:v>
                      </c:pt>
                      <c:pt idx="202">
                        <c:v>5</c:v>
                      </c:pt>
                      <c:pt idx="203">
                        <c:v>2</c:v>
                      </c:pt>
                      <c:pt idx="204">
                        <c:v>4</c:v>
                      </c:pt>
                      <c:pt idx="205">
                        <c:v>4</c:v>
                      </c:pt>
                      <c:pt idx="206">
                        <c:v>5</c:v>
                      </c:pt>
                      <c:pt idx="207">
                        <c:v>4</c:v>
                      </c:pt>
                      <c:pt idx="208">
                        <c:v>1</c:v>
                      </c:pt>
                      <c:pt idx="209">
                        <c:v>2</c:v>
                      </c:pt>
                      <c:pt idx="210">
                        <c:v>5</c:v>
                      </c:pt>
                      <c:pt idx="211">
                        <c:v>3</c:v>
                      </c:pt>
                      <c:pt idx="212">
                        <c:v>0</c:v>
                      </c:pt>
                      <c:pt idx="213">
                        <c:v>3</c:v>
                      </c:pt>
                      <c:pt idx="214">
                        <c:v>0</c:v>
                      </c:pt>
                      <c:pt idx="215">
                        <c:v>3</c:v>
                      </c:pt>
                      <c:pt idx="216">
                        <c:v>2</c:v>
                      </c:pt>
                      <c:pt idx="217">
                        <c:v>5</c:v>
                      </c:pt>
                      <c:pt idx="218">
                        <c:v>2</c:v>
                      </c:pt>
                      <c:pt idx="219">
                        <c:v>4</c:v>
                      </c:pt>
                      <c:pt idx="220">
                        <c:v>4</c:v>
                      </c:pt>
                      <c:pt idx="221">
                        <c:v>4</c:v>
                      </c:pt>
                      <c:pt idx="222">
                        <c:v>5</c:v>
                      </c:pt>
                      <c:pt idx="223">
                        <c:v>5</c:v>
                      </c:pt>
                      <c:pt idx="224">
                        <c:v>3</c:v>
                      </c:pt>
                      <c:pt idx="225">
                        <c:v>0</c:v>
                      </c:pt>
                      <c:pt idx="226">
                        <c:v>5</c:v>
                      </c:pt>
                      <c:pt idx="227">
                        <c:v>0</c:v>
                      </c:pt>
                      <c:pt idx="228">
                        <c:v>5</c:v>
                      </c:pt>
                      <c:pt idx="229">
                        <c:v>5</c:v>
                      </c:pt>
                      <c:pt idx="230">
                        <c:v>3</c:v>
                      </c:pt>
                      <c:pt idx="231">
                        <c:v>1</c:v>
                      </c:pt>
                      <c:pt idx="232">
                        <c:v>4</c:v>
                      </c:pt>
                      <c:pt idx="233">
                        <c:v>5</c:v>
                      </c:pt>
                      <c:pt idx="234">
                        <c:v>2</c:v>
                      </c:pt>
                      <c:pt idx="235">
                        <c:v>3</c:v>
                      </c:pt>
                      <c:pt idx="236">
                        <c:v>1</c:v>
                      </c:pt>
                      <c:pt idx="237">
                        <c:v>0</c:v>
                      </c:pt>
                      <c:pt idx="238">
                        <c:v>5</c:v>
                      </c:pt>
                      <c:pt idx="239">
                        <c:v>0</c:v>
                      </c:pt>
                      <c:pt idx="240">
                        <c:v>1</c:v>
                      </c:pt>
                      <c:pt idx="241">
                        <c:v>3</c:v>
                      </c:pt>
                      <c:pt idx="242">
                        <c:v>3</c:v>
                      </c:pt>
                      <c:pt idx="243">
                        <c:v>4</c:v>
                      </c:pt>
                      <c:pt idx="244">
                        <c:v>4</c:v>
                      </c:pt>
                      <c:pt idx="245">
                        <c:v>0</c:v>
                      </c:pt>
                      <c:pt idx="246">
                        <c:v>2</c:v>
                      </c:pt>
                      <c:pt idx="247">
                        <c:v>2</c:v>
                      </c:pt>
                      <c:pt idx="248">
                        <c:v>2</c:v>
                      </c:pt>
                      <c:pt idx="249">
                        <c:v>4</c:v>
                      </c:pt>
                      <c:pt idx="250">
                        <c:v>3</c:v>
                      </c:pt>
                      <c:pt idx="251">
                        <c:v>5</c:v>
                      </c:pt>
                      <c:pt idx="252">
                        <c:v>1</c:v>
                      </c:pt>
                      <c:pt idx="253">
                        <c:v>0</c:v>
                      </c:pt>
                      <c:pt idx="254">
                        <c:v>0</c:v>
                      </c:pt>
                      <c:pt idx="255">
                        <c:v>3</c:v>
                      </c:pt>
                      <c:pt idx="256">
                        <c:v>3</c:v>
                      </c:pt>
                      <c:pt idx="257">
                        <c:v>1</c:v>
                      </c:pt>
                      <c:pt idx="258">
                        <c:v>1</c:v>
                      </c:pt>
                      <c:pt idx="259">
                        <c:v>2</c:v>
                      </c:pt>
                      <c:pt idx="260">
                        <c:v>3</c:v>
                      </c:pt>
                      <c:pt idx="261">
                        <c:v>0</c:v>
                      </c:pt>
                      <c:pt idx="262">
                        <c:v>0</c:v>
                      </c:pt>
                      <c:pt idx="263">
                        <c:v>1</c:v>
                      </c:pt>
                      <c:pt idx="264">
                        <c:v>4</c:v>
                      </c:pt>
                      <c:pt idx="265">
                        <c:v>4</c:v>
                      </c:pt>
                      <c:pt idx="266">
                        <c:v>0</c:v>
                      </c:pt>
                      <c:pt idx="267">
                        <c:v>0</c:v>
                      </c:pt>
                      <c:pt idx="268">
                        <c:v>0</c:v>
                      </c:pt>
                      <c:pt idx="269">
                        <c:v>1</c:v>
                      </c:pt>
                      <c:pt idx="270">
                        <c:v>0</c:v>
                      </c:pt>
                      <c:pt idx="271">
                        <c:v>4</c:v>
                      </c:pt>
                      <c:pt idx="272">
                        <c:v>0</c:v>
                      </c:pt>
                      <c:pt idx="273">
                        <c:v>5</c:v>
                      </c:pt>
                      <c:pt idx="274">
                        <c:v>3</c:v>
                      </c:pt>
                      <c:pt idx="275">
                        <c:v>1</c:v>
                      </c:pt>
                      <c:pt idx="276">
                        <c:v>0</c:v>
                      </c:pt>
                      <c:pt idx="277">
                        <c:v>2</c:v>
                      </c:pt>
                      <c:pt idx="278">
                        <c:v>1</c:v>
                      </c:pt>
                      <c:pt idx="279">
                        <c:v>4</c:v>
                      </c:pt>
                      <c:pt idx="280">
                        <c:v>5</c:v>
                      </c:pt>
                      <c:pt idx="281">
                        <c:v>2</c:v>
                      </c:pt>
                      <c:pt idx="282">
                        <c:v>0</c:v>
                      </c:pt>
                      <c:pt idx="283">
                        <c:v>2</c:v>
                      </c:pt>
                      <c:pt idx="284">
                        <c:v>4</c:v>
                      </c:pt>
                      <c:pt idx="285">
                        <c:v>1</c:v>
                      </c:pt>
                      <c:pt idx="286">
                        <c:v>3</c:v>
                      </c:pt>
                      <c:pt idx="287">
                        <c:v>1</c:v>
                      </c:pt>
                      <c:pt idx="288">
                        <c:v>2</c:v>
                      </c:pt>
                      <c:pt idx="289">
                        <c:v>2</c:v>
                      </c:pt>
                      <c:pt idx="290">
                        <c:v>1</c:v>
                      </c:pt>
                      <c:pt idx="291">
                        <c:v>1</c:v>
                      </c:pt>
                      <c:pt idx="292">
                        <c:v>3</c:v>
                      </c:pt>
                      <c:pt idx="293">
                        <c:v>3</c:v>
                      </c:pt>
                      <c:pt idx="294">
                        <c:v>4</c:v>
                      </c:pt>
                      <c:pt idx="295">
                        <c:v>5</c:v>
                      </c:pt>
                      <c:pt idx="296">
                        <c:v>3</c:v>
                      </c:pt>
                      <c:pt idx="297">
                        <c:v>3</c:v>
                      </c:pt>
                      <c:pt idx="298">
                        <c:v>1</c:v>
                      </c:pt>
                      <c:pt idx="299">
                        <c:v>5</c:v>
                      </c:pt>
                      <c:pt idx="300">
                        <c:v>3</c:v>
                      </c:pt>
                      <c:pt idx="301">
                        <c:v>2</c:v>
                      </c:pt>
                      <c:pt idx="302">
                        <c:v>5</c:v>
                      </c:pt>
                      <c:pt idx="303">
                        <c:v>5</c:v>
                      </c:pt>
                      <c:pt idx="304">
                        <c:v>5</c:v>
                      </c:pt>
                      <c:pt idx="305">
                        <c:v>1</c:v>
                      </c:pt>
                      <c:pt idx="306">
                        <c:v>4</c:v>
                      </c:pt>
                      <c:pt idx="307">
                        <c:v>0</c:v>
                      </c:pt>
                      <c:pt idx="308">
                        <c:v>0</c:v>
                      </c:pt>
                      <c:pt idx="309">
                        <c:v>0</c:v>
                      </c:pt>
                      <c:pt idx="310">
                        <c:v>4</c:v>
                      </c:pt>
                      <c:pt idx="311">
                        <c:v>4</c:v>
                      </c:pt>
                      <c:pt idx="312">
                        <c:v>5</c:v>
                      </c:pt>
                      <c:pt idx="313">
                        <c:v>0</c:v>
                      </c:pt>
                      <c:pt idx="314">
                        <c:v>3</c:v>
                      </c:pt>
                      <c:pt idx="315">
                        <c:v>4</c:v>
                      </c:pt>
                      <c:pt idx="316">
                        <c:v>5</c:v>
                      </c:pt>
                      <c:pt idx="317">
                        <c:v>5</c:v>
                      </c:pt>
                      <c:pt idx="318">
                        <c:v>0</c:v>
                      </c:pt>
                      <c:pt idx="319">
                        <c:v>5</c:v>
                      </c:pt>
                      <c:pt idx="320">
                        <c:v>1</c:v>
                      </c:pt>
                      <c:pt idx="321">
                        <c:v>3</c:v>
                      </c:pt>
                      <c:pt idx="322">
                        <c:v>0</c:v>
                      </c:pt>
                      <c:pt idx="323">
                        <c:v>1</c:v>
                      </c:pt>
                      <c:pt idx="324">
                        <c:v>2</c:v>
                      </c:pt>
                      <c:pt idx="325">
                        <c:v>3</c:v>
                      </c:pt>
                      <c:pt idx="326">
                        <c:v>1</c:v>
                      </c:pt>
                      <c:pt idx="327">
                        <c:v>0</c:v>
                      </c:pt>
                      <c:pt idx="328">
                        <c:v>5</c:v>
                      </c:pt>
                      <c:pt idx="329">
                        <c:v>4</c:v>
                      </c:pt>
                      <c:pt idx="330">
                        <c:v>5</c:v>
                      </c:pt>
                      <c:pt idx="331">
                        <c:v>5</c:v>
                      </c:pt>
                      <c:pt idx="332">
                        <c:v>1</c:v>
                      </c:pt>
                      <c:pt idx="333">
                        <c:v>2</c:v>
                      </c:pt>
                      <c:pt idx="334">
                        <c:v>3</c:v>
                      </c:pt>
                      <c:pt idx="335">
                        <c:v>4</c:v>
                      </c:pt>
                      <c:pt idx="336">
                        <c:v>1</c:v>
                      </c:pt>
                      <c:pt idx="337">
                        <c:v>1</c:v>
                      </c:pt>
                      <c:pt idx="338">
                        <c:v>5</c:v>
                      </c:pt>
                      <c:pt idx="339">
                        <c:v>4</c:v>
                      </c:pt>
                      <c:pt idx="340">
                        <c:v>2</c:v>
                      </c:pt>
                      <c:pt idx="341">
                        <c:v>1</c:v>
                      </c:pt>
                      <c:pt idx="342">
                        <c:v>4</c:v>
                      </c:pt>
                      <c:pt idx="343">
                        <c:v>5</c:v>
                      </c:pt>
                      <c:pt idx="344">
                        <c:v>4</c:v>
                      </c:pt>
                      <c:pt idx="345">
                        <c:v>2</c:v>
                      </c:pt>
                      <c:pt idx="346">
                        <c:v>4</c:v>
                      </c:pt>
                      <c:pt idx="347">
                        <c:v>2</c:v>
                      </c:pt>
                      <c:pt idx="348">
                        <c:v>4</c:v>
                      </c:pt>
                      <c:pt idx="349">
                        <c:v>0</c:v>
                      </c:pt>
                      <c:pt idx="350">
                        <c:v>5</c:v>
                      </c:pt>
                      <c:pt idx="351">
                        <c:v>4</c:v>
                      </c:pt>
                      <c:pt idx="352">
                        <c:v>4</c:v>
                      </c:pt>
                      <c:pt idx="353">
                        <c:v>4</c:v>
                      </c:pt>
                      <c:pt idx="354">
                        <c:v>2</c:v>
                      </c:pt>
                      <c:pt idx="355">
                        <c:v>1</c:v>
                      </c:pt>
                      <c:pt idx="356">
                        <c:v>0</c:v>
                      </c:pt>
                      <c:pt idx="357">
                        <c:v>5</c:v>
                      </c:pt>
                      <c:pt idx="358">
                        <c:v>0</c:v>
                      </c:pt>
                      <c:pt idx="359">
                        <c:v>5</c:v>
                      </c:pt>
                      <c:pt idx="360">
                        <c:v>2</c:v>
                      </c:pt>
                      <c:pt idx="361">
                        <c:v>1</c:v>
                      </c:pt>
                      <c:pt idx="362">
                        <c:v>1</c:v>
                      </c:pt>
                      <c:pt idx="363">
                        <c:v>3</c:v>
                      </c:pt>
                      <c:pt idx="364">
                        <c:v>5</c:v>
                      </c:pt>
                      <c:pt idx="365">
                        <c:v>4</c:v>
                      </c:pt>
                      <c:pt idx="366">
                        <c:v>3</c:v>
                      </c:pt>
                      <c:pt idx="367">
                        <c:v>3</c:v>
                      </c:pt>
                      <c:pt idx="368">
                        <c:v>5</c:v>
                      </c:pt>
                      <c:pt idx="369">
                        <c:v>4</c:v>
                      </c:pt>
                      <c:pt idx="370">
                        <c:v>4</c:v>
                      </c:pt>
                      <c:pt idx="371">
                        <c:v>1</c:v>
                      </c:pt>
                      <c:pt idx="372">
                        <c:v>1</c:v>
                      </c:pt>
                      <c:pt idx="373">
                        <c:v>1</c:v>
                      </c:pt>
                      <c:pt idx="374">
                        <c:v>1</c:v>
                      </c:pt>
                      <c:pt idx="375">
                        <c:v>1</c:v>
                      </c:pt>
                      <c:pt idx="376">
                        <c:v>2</c:v>
                      </c:pt>
                      <c:pt idx="377">
                        <c:v>2</c:v>
                      </c:pt>
                      <c:pt idx="378">
                        <c:v>5</c:v>
                      </c:pt>
                      <c:pt idx="379">
                        <c:v>4</c:v>
                      </c:pt>
                      <c:pt idx="380">
                        <c:v>5</c:v>
                      </c:pt>
                      <c:pt idx="381">
                        <c:v>1</c:v>
                      </c:pt>
                      <c:pt idx="382">
                        <c:v>3</c:v>
                      </c:pt>
                      <c:pt idx="383">
                        <c:v>1</c:v>
                      </c:pt>
                      <c:pt idx="384">
                        <c:v>3</c:v>
                      </c:pt>
                      <c:pt idx="385">
                        <c:v>5</c:v>
                      </c:pt>
                      <c:pt idx="386">
                        <c:v>2</c:v>
                      </c:pt>
                      <c:pt idx="387">
                        <c:v>3</c:v>
                      </c:pt>
                      <c:pt idx="388">
                        <c:v>3</c:v>
                      </c:pt>
                      <c:pt idx="389">
                        <c:v>1</c:v>
                      </c:pt>
                      <c:pt idx="390">
                        <c:v>1</c:v>
                      </c:pt>
                      <c:pt idx="391">
                        <c:v>0</c:v>
                      </c:pt>
                      <c:pt idx="392">
                        <c:v>5</c:v>
                      </c:pt>
                      <c:pt idx="393">
                        <c:v>4</c:v>
                      </c:pt>
                      <c:pt idx="394">
                        <c:v>5</c:v>
                      </c:pt>
                      <c:pt idx="395">
                        <c:v>4</c:v>
                      </c:pt>
                      <c:pt idx="396">
                        <c:v>5</c:v>
                      </c:pt>
                      <c:pt idx="397">
                        <c:v>2</c:v>
                      </c:pt>
                      <c:pt idx="398">
                        <c:v>0</c:v>
                      </c:pt>
                      <c:pt idx="399">
                        <c:v>4</c:v>
                      </c:pt>
                      <c:pt idx="400">
                        <c:v>3</c:v>
                      </c:pt>
                      <c:pt idx="401">
                        <c:v>0</c:v>
                      </c:pt>
                      <c:pt idx="402">
                        <c:v>4</c:v>
                      </c:pt>
                      <c:pt idx="403">
                        <c:v>5</c:v>
                      </c:pt>
                      <c:pt idx="404">
                        <c:v>4</c:v>
                      </c:pt>
                      <c:pt idx="405">
                        <c:v>4</c:v>
                      </c:pt>
                      <c:pt idx="406">
                        <c:v>0</c:v>
                      </c:pt>
                      <c:pt idx="407">
                        <c:v>4</c:v>
                      </c:pt>
                      <c:pt idx="408">
                        <c:v>4</c:v>
                      </c:pt>
                      <c:pt idx="409">
                        <c:v>0</c:v>
                      </c:pt>
                      <c:pt idx="410">
                        <c:v>0</c:v>
                      </c:pt>
                      <c:pt idx="411">
                        <c:v>1</c:v>
                      </c:pt>
                      <c:pt idx="412">
                        <c:v>2</c:v>
                      </c:pt>
                      <c:pt idx="413">
                        <c:v>3</c:v>
                      </c:pt>
                      <c:pt idx="414">
                        <c:v>1</c:v>
                      </c:pt>
                      <c:pt idx="415">
                        <c:v>1</c:v>
                      </c:pt>
                      <c:pt idx="416">
                        <c:v>1</c:v>
                      </c:pt>
                      <c:pt idx="417">
                        <c:v>2</c:v>
                      </c:pt>
                      <c:pt idx="418">
                        <c:v>4</c:v>
                      </c:pt>
                      <c:pt idx="419">
                        <c:v>1</c:v>
                      </c:pt>
                      <c:pt idx="420">
                        <c:v>5</c:v>
                      </c:pt>
                      <c:pt idx="421">
                        <c:v>2</c:v>
                      </c:pt>
                      <c:pt idx="422">
                        <c:v>5</c:v>
                      </c:pt>
                      <c:pt idx="423">
                        <c:v>3</c:v>
                      </c:pt>
                      <c:pt idx="424">
                        <c:v>3</c:v>
                      </c:pt>
                      <c:pt idx="425">
                        <c:v>5</c:v>
                      </c:pt>
                      <c:pt idx="426">
                        <c:v>1</c:v>
                      </c:pt>
                      <c:pt idx="427">
                        <c:v>4</c:v>
                      </c:pt>
                      <c:pt idx="428">
                        <c:v>1</c:v>
                      </c:pt>
                      <c:pt idx="429">
                        <c:v>5</c:v>
                      </c:pt>
                      <c:pt idx="430">
                        <c:v>1</c:v>
                      </c:pt>
                      <c:pt idx="431">
                        <c:v>5</c:v>
                      </c:pt>
                      <c:pt idx="432">
                        <c:v>5</c:v>
                      </c:pt>
                      <c:pt idx="433">
                        <c:v>2</c:v>
                      </c:pt>
                      <c:pt idx="434">
                        <c:v>0</c:v>
                      </c:pt>
                      <c:pt idx="435">
                        <c:v>3</c:v>
                      </c:pt>
                      <c:pt idx="436">
                        <c:v>3</c:v>
                      </c:pt>
                      <c:pt idx="437">
                        <c:v>5</c:v>
                      </c:pt>
                      <c:pt idx="438">
                        <c:v>2</c:v>
                      </c:pt>
                      <c:pt idx="439">
                        <c:v>1</c:v>
                      </c:pt>
                      <c:pt idx="440">
                        <c:v>3</c:v>
                      </c:pt>
                      <c:pt idx="441">
                        <c:v>3</c:v>
                      </c:pt>
                      <c:pt idx="442">
                        <c:v>0</c:v>
                      </c:pt>
                      <c:pt idx="443">
                        <c:v>3</c:v>
                      </c:pt>
                      <c:pt idx="444">
                        <c:v>1</c:v>
                      </c:pt>
                      <c:pt idx="445">
                        <c:v>1</c:v>
                      </c:pt>
                      <c:pt idx="446">
                        <c:v>4</c:v>
                      </c:pt>
                      <c:pt idx="447">
                        <c:v>0</c:v>
                      </c:pt>
                      <c:pt idx="448">
                        <c:v>4</c:v>
                      </c:pt>
                      <c:pt idx="449">
                        <c:v>0</c:v>
                      </c:pt>
                      <c:pt idx="450">
                        <c:v>4</c:v>
                      </c:pt>
                      <c:pt idx="451">
                        <c:v>3</c:v>
                      </c:pt>
                      <c:pt idx="452">
                        <c:v>5</c:v>
                      </c:pt>
                      <c:pt idx="453">
                        <c:v>2</c:v>
                      </c:pt>
                      <c:pt idx="454">
                        <c:v>5</c:v>
                      </c:pt>
                      <c:pt idx="455">
                        <c:v>0</c:v>
                      </c:pt>
                      <c:pt idx="456">
                        <c:v>5</c:v>
                      </c:pt>
                      <c:pt idx="457">
                        <c:v>0</c:v>
                      </c:pt>
                      <c:pt idx="458">
                        <c:v>2</c:v>
                      </c:pt>
                      <c:pt idx="459">
                        <c:v>2</c:v>
                      </c:pt>
                      <c:pt idx="460">
                        <c:v>4</c:v>
                      </c:pt>
                      <c:pt idx="461">
                        <c:v>1</c:v>
                      </c:pt>
                      <c:pt idx="462">
                        <c:v>3</c:v>
                      </c:pt>
                      <c:pt idx="463">
                        <c:v>1</c:v>
                      </c:pt>
                      <c:pt idx="464">
                        <c:v>2</c:v>
                      </c:pt>
                      <c:pt idx="465">
                        <c:v>1</c:v>
                      </c:pt>
                      <c:pt idx="466">
                        <c:v>2</c:v>
                      </c:pt>
                      <c:pt idx="467">
                        <c:v>5</c:v>
                      </c:pt>
                      <c:pt idx="468">
                        <c:v>2</c:v>
                      </c:pt>
                      <c:pt idx="469">
                        <c:v>1</c:v>
                      </c:pt>
                      <c:pt idx="470">
                        <c:v>0</c:v>
                      </c:pt>
                      <c:pt idx="471">
                        <c:v>1</c:v>
                      </c:pt>
                      <c:pt idx="472">
                        <c:v>3</c:v>
                      </c:pt>
                      <c:pt idx="473">
                        <c:v>3</c:v>
                      </c:pt>
                      <c:pt idx="474">
                        <c:v>2</c:v>
                      </c:pt>
                      <c:pt idx="475">
                        <c:v>1</c:v>
                      </c:pt>
                      <c:pt idx="476">
                        <c:v>5</c:v>
                      </c:pt>
                      <c:pt idx="477">
                        <c:v>1</c:v>
                      </c:pt>
                      <c:pt idx="478">
                        <c:v>1</c:v>
                      </c:pt>
                      <c:pt idx="479">
                        <c:v>4</c:v>
                      </c:pt>
                      <c:pt idx="480">
                        <c:v>3</c:v>
                      </c:pt>
                      <c:pt idx="481">
                        <c:v>5</c:v>
                      </c:pt>
                      <c:pt idx="482">
                        <c:v>4</c:v>
                      </c:pt>
                      <c:pt idx="483">
                        <c:v>5</c:v>
                      </c:pt>
                      <c:pt idx="484">
                        <c:v>4</c:v>
                      </c:pt>
                      <c:pt idx="485">
                        <c:v>4</c:v>
                      </c:pt>
                      <c:pt idx="486">
                        <c:v>5</c:v>
                      </c:pt>
                      <c:pt idx="487">
                        <c:v>1</c:v>
                      </c:pt>
                      <c:pt idx="488">
                        <c:v>4</c:v>
                      </c:pt>
                      <c:pt idx="489">
                        <c:v>2</c:v>
                      </c:pt>
                      <c:pt idx="490">
                        <c:v>3</c:v>
                      </c:pt>
                      <c:pt idx="491">
                        <c:v>3</c:v>
                      </c:pt>
                      <c:pt idx="492">
                        <c:v>0</c:v>
                      </c:pt>
                      <c:pt idx="493">
                        <c:v>0</c:v>
                      </c:pt>
                      <c:pt idx="494">
                        <c:v>4</c:v>
                      </c:pt>
                      <c:pt idx="495">
                        <c:v>1</c:v>
                      </c:pt>
                      <c:pt idx="496">
                        <c:v>3</c:v>
                      </c:pt>
                      <c:pt idx="497">
                        <c:v>4</c:v>
                      </c:pt>
                      <c:pt idx="498">
                        <c:v>5</c:v>
                      </c:pt>
                      <c:pt idx="499">
                        <c:v>1</c:v>
                      </c:pt>
                    </c:numCache>
                  </c:numRef>
                </c:yVal>
                <c:smooth val="0"/>
                <c:extLst>
                  <c:ext xmlns:c16="http://schemas.microsoft.com/office/drawing/2014/chart" uri="{C3380CC4-5D6E-409C-BE32-E72D297353CC}">
                    <c16:uniqueId val="{00000005-3FBD-4550-9CC1-830AAFDA50EF}"/>
                  </c:ext>
                </c:extLst>
              </c15:ser>
            </c15:filteredScatterSeries>
          </c:ext>
        </c:extLst>
      </c:scatterChart>
      <c:valAx>
        <c:axId val="194929232"/>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9712"/>
        <c:crosses val="autoZero"/>
        <c:crossBetween val="midCat"/>
      </c:valAx>
      <c:valAx>
        <c:axId val="19492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9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1.xlsx]Pivot tables!User Interest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User</a:t>
            </a:r>
            <a:r>
              <a:rPr lang="en-US" b="1" baseline="0">
                <a:latin typeface="Times New Roman" panose="02020603050405020304" pitchFamily="18" charset="0"/>
                <a:cs typeface="Times New Roman" panose="02020603050405020304" pitchFamily="18" charset="0"/>
              </a:rPr>
              <a:t> Interest Distribution</a:t>
            </a:r>
          </a:p>
        </c:rich>
      </c:tx>
      <c:layout>
        <c:manualLayout>
          <c:xMode val="edge"/>
          <c:yMode val="edge"/>
          <c:x val="0.37424999999999997"/>
          <c:y val="0.163991905591953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tables'!$A$3:$A$9</c:f>
              <c:strCache>
                <c:ptCount val="6"/>
                <c:pt idx="0">
                  <c:v>Entertainment</c:v>
                </c:pt>
                <c:pt idx="1">
                  <c:v>Fashion</c:v>
                </c:pt>
                <c:pt idx="2">
                  <c:v>Food</c:v>
                </c:pt>
                <c:pt idx="3">
                  <c:v>Sports</c:v>
                </c:pt>
                <c:pt idx="4">
                  <c:v>Tech</c:v>
                </c:pt>
                <c:pt idx="5">
                  <c:v>Travel</c:v>
                </c:pt>
              </c:strCache>
            </c:strRef>
          </c:cat>
          <c:val>
            <c:numRef>
              <c:f>'Pivot tables'!$B$3:$B$9</c:f>
              <c:numCache>
                <c:formatCode>General</c:formatCode>
                <c:ptCount val="6"/>
                <c:pt idx="0">
                  <c:v>3185.8499999999985</c:v>
                </c:pt>
                <c:pt idx="1">
                  <c:v>3999.1999999999994</c:v>
                </c:pt>
                <c:pt idx="2">
                  <c:v>4376.1499999999996</c:v>
                </c:pt>
                <c:pt idx="3">
                  <c:v>4015.8999999999992</c:v>
                </c:pt>
                <c:pt idx="4">
                  <c:v>3568.1999999999989</c:v>
                </c:pt>
                <c:pt idx="5">
                  <c:v>3904.8999999999996</c:v>
                </c:pt>
              </c:numCache>
            </c:numRef>
          </c:val>
          <c:extLst>
            <c:ext xmlns:c16="http://schemas.microsoft.com/office/drawing/2014/chart" uri="{C3380CC4-5D6E-409C-BE32-E72D297353CC}">
              <c16:uniqueId val="{00000000-C6F7-48CC-A2E9-83BEC65CD867}"/>
            </c:ext>
          </c:extLst>
        </c:ser>
        <c:dLbls>
          <c:dLblPos val="outEnd"/>
          <c:showLegendKey val="0"/>
          <c:showVal val="1"/>
          <c:showCatName val="0"/>
          <c:showSerName val="0"/>
          <c:showPercent val="0"/>
          <c:showBubbleSize val="0"/>
        </c:dLbls>
        <c:gapWidth val="182"/>
        <c:axId val="202353264"/>
        <c:axId val="202342224"/>
      </c:barChart>
      <c:catAx>
        <c:axId val="20235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2224"/>
        <c:crosses val="autoZero"/>
        <c:auto val="1"/>
        <c:lblAlgn val="ctr"/>
        <c:lblOffset val="100"/>
        <c:noMultiLvlLbl val="0"/>
      </c:catAx>
      <c:valAx>
        <c:axId val="20234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1.xlsx]Pivot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Content</a:t>
            </a:r>
            <a:r>
              <a:rPr lang="en-IN" baseline="0"/>
              <a:t> Preference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2.128248031496063E-2"/>
              <c:y val="-3.9574219889180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1.8663385826771652E-2"/>
              <c:y val="3.828958880139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5.3786745406824148E-2"/>
              <c:y val="-3.553732866724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3.1848972003499565E-2"/>
              <c:y val="-1.7392096821230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1.0151793525809274E-2"/>
              <c:y val="-3.4713837853601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3.9430227471566055E-2"/>
              <c:y val="-5.10243511227763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3.9430227471566055E-2"/>
              <c:y val="-5.10243511227763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1.0151793525809274E-2"/>
              <c:y val="-3.4713837853601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3.1848972003499565E-2"/>
              <c:y val="-1.7392096821230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5.3786745406824148E-2"/>
              <c:y val="-3.553732866724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dLbl>
          <c:idx val="0"/>
          <c:layout>
            <c:manualLayout>
              <c:x val="-1.8663385826771652E-2"/>
              <c:y val="3.828958880139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2.128248031496063E-2"/>
              <c:y val="-3.9574219889180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dLbl>
          <c:idx val="0"/>
          <c:layout>
            <c:manualLayout>
              <c:x val="3.9430227471566055E-2"/>
              <c:y val="-5.10243511227763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dLbl>
          <c:idx val="0"/>
          <c:layout>
            <c:manualLayout>
              <c:x val="1.0151793525809274E-2"/>
              <c:y val="-3.4713837853601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dLbl>
          <c:idx val="0"/>
          <c:layout>
            <c:manualLayout>
              <c:x val="3.1848972003499565E-2"/>
              <c:y val="-1.7392096821230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dLbl>
          <c:idx val="0"/>
          <c:layout>
            <c:manualLayout>
              <c:x val="-5.3786745406824148E-2"/>
              <c:y val="-3.553732866724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1.8663385826771652E-2"/>
              <c:y val="3.8289588801399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dLbl>
          <c:idx val="0"/>
          <c:layout>
            <c:manualLayout>
              <c:x val="-2.128248031496063E-2"/>
              <c:y val="-3.9574219889180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tables'!$B$12</c:f>
              <c:strCache>
                <c:ptCount val="1"/>
                <c:pt idx="0">
                  <c:v>Total</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01-853E-4DB6-9205-AD676BAAEA01}"/>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3-853E-4DB6-9205-AD676BAAEA01}"/>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5-853E-4DB6-9205-AD676BAAEA01}"/>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7-853E-4DB6-9205-AD676BAAEA01}"/>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09-853E-4DB6-9205-AD676BAAEA01}"/>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0B-853E-4DB6-9205-AD676BAAEA01}"/>
              </c:ext>
            </c:extLst>
          </c:dPt>
          <c:dLbls>
            <c:dLbl>
              <c:idx val="0"/>
              <c:layout>
                <c:manualLayout>
                  <c:x val="3.9430227471566055E-2"/>
                  <c:y val="-5.102435112277632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3E-4DB6-9205-AD676BAAEA01}"/>
                </c:ext>
              </c:extLst>
            </c:dLbl>
            <c:dLbl>
              <c:idx val="1"/>
              <c:layout>
                <c:manualLayout>
                  <c:x val="1.0151793525809274E-2"/>
                  <c:y val="-3.47138378536016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3E-4DB6-9205-AD676BAAEA01}"/>
                </c:ext>
              </c:extLst>
            </c:dLbl>
            <c:dLbl>
              <c:idx val="2"/>
              <c:layout>
                <c:manualLayout>
                  <c:x val="3.1848972003499565E-2"/>
                  <c:y val="-1.7392096821230679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53E-4DB6-9205-AD676BAAEA01}"/>
                </c:ext>
              </c:extLst>
            </c:dLbl>
            <c:dLbl>
              <c:idx val="3"/>
              <c:layout>
                <c:manualLayout>
                  <c:x val="-5.3786745406824148E-2"/>
                  <c:y val="-3.553732866724992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53E-4DB6-9205-AD676BAAEA01}"/>
                </c:ext>
              </c:extLst>
            </c:dLbl>
            <c:dLbl>
              <c:idx val="4"/>
              <c:layout>
                <c:manualLayout>
                  <c:x val="-1.8663385826771652E-2"/>
                  <c:y val="3.82895888013998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53E-4DB6-9205-AD676BAAEA01}"/>
                </c:ext>
              </c:extLst>
            </c:dLbl>
            <c:dLbl>
              <c:idx val="5"/>
              <c:layout>
                <c:manualLayout>
                  <c:x val="-2.128248031496063E-2"/>
                  <c:y val="-3.957421988918051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53E-4DB6-9205-AD676BAAEA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tables'!$A$13:$A$19</c:f>
              <c:strCache>
                <c:ptCount val="6"/>
                <c:pt idx="0">
                  <c:v>Entertainment</c:v>
                </c:pt>
                <c:pt idx="1">
                  <c:v>Fashion</c:v>
                </c:pt>
                <c:pt idx="2">
                  <c:v>Food</c:v>
                </c:pt>
                <c:pt idx="3">
                  <c:v>Sports</c:v>
                </c:pt>
                <c:pt idx="4">
                  <c:v>Tech</c:v>
                </c:pt>
                <c:pt idx="5">
                  <c:v>Travel</c:v>
                </c:pt>
              </c:strCache>
            </c:strRef>
          </c:cat>
          <c:val>
            <c:numRef>
              <c:f>'Pivot tables'!$B$13:$B$19</c:f>
              <c:numCache>
                <c:formatCode>General</c:formatCode>
                <c:ptCount val="6"/>
                <c:pt idx="0">
                  <c:v>3185.8499999999985</c:v>
                </c:pt>
                <c:pt idx="1">
                  <c:v>3999.1999999999994</c:v>
                </c:pt>
                <c:pt idx="2">
                  <c:v>4376.1499999999996</c:v>
                </c:pt>
                <c:pt idx="3">
                  <c:v>4015.8999999999992</c:v>
                </c:pt>
                <c:pt idx="4">
                  <c:v>3568.1999999999989</c:v>
                </c:pt>
                <c:pt idx="5">
                  <c:v>3904.8999999999996</c:v>
                </c:pt>
              </c:numCache>
            </c:numRef>
          </c:val>
          <c:extLst>
            <c:ext xmlns:c16="http://schemas.microsoft.com/office/drawing/2014/chart" uri="{C3380CC4-5D6E-409C-BE32-E72D297353CC}">
              <c16:uniqueId val="{0000000C-853E-4DB6-9205-AD676BAAEA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a:t>
            </a:r>
            <a:r>
              <a:rPr lang="en-IN" baseline="0"/>
              <a:t> By Category Per User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tables'!$B$23:$B$24</c:f>
              <c:strCache>
                <c:ptCount val="1"/>
                <c:pt idx="0">
                  <c:v>Entertainment</c:v>
                </c:pt>
              </c:strCache>
            </c:strRef>
          </c:tx>
          <c:spPr>
            <a:solidFill>
              <a:schemeClr val="accent1"/>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tables'!$B$25:$B$75</c:f>
              <c:numCache>
                <c:formatCode>General</c:formatCode>
                <c:ptCount val="50"/>
                <c:pt idx="0">
                  <c:v>65.95</c:v>
                </c:pt>
                <c:pt idx="1">
                  <c:v>100.1</c:v>
                </c:pt>
                <c:pt idx="2">
                  <c:v>66.7</c:v>
                </c:pt>
                <c:pt idx="3">
                  <c:v>53.55</c:v>
                </c:pt>
                <c:pt idx="4">
                  <c:v>96.25</c:v>
                </c:pt>
                <c:pt idx="5">
                  <c:v>36.35</c:v>
                </c:pt>
                <c:pt idx="6">
                  <c:v>94.1</c:v>
                </c:pt>
                <c:pt idx="7">
                  <c:v>89.5</c:v>
                </c:pt>
                <c:pt idx="8">
                  <c:v>95.9</c:v>
                </c:pt>
                <c:pt idx="10">
                  <c:v>47.6</c:v>
                </c:pt>
                <c:pt idx="11">
                  <c:v>102.95</c:v>
                </c:pt>
                <c:pt idx="13">
                  <c:v>43.9</c:v>
                </c:pt>
                <c:pt idx="14">
                  <c:v>162.50000000000003</c:v>
                </c:pt>
                <c:pt idx="15">
                  <c:v>162.5</c:v>
                </c:pt>
                <c:pt idx="16">
                  <c:v>41.3</c:v>
                </c:pt>
                <c:pt idx="17">
                  <c:v>152.30000000000001</c:v>
                </c:pt>
                <c:pt idx="19">
                  <c:v>101.55000000000001</c:v>
                </c:pt>
                <c:pt idx="20">
                  <c:v>113.25</c:v>
                </c:pt>
                <c:pt idx="21">
                  <c:v>95.35</c:v>
                </c:pt>
                <c:pt idx="22">
                  <c:v>147.80000000000001</c:v>
                </c:pt>
                <c:pt idx="23">
                  <c:v>108.85</c:v>
                </c:pt>
                <c:pt idx="24">
                  <c:v>132.5</c:v>
                </c:pt>
                <c:pt idx="29">
                  <c:v>46.85</c:v>
                </c:pt>
                <c:pt idx="31">
                  <c:v>59.75</c:v>
                </c:pt>
                <c:pt idx="32">
                  <c:v>236.99999999999997</c:v>
                </c:pt>
                <c:pt idx="34">
                  <c:v>72.099999999999994</c:v>
                </c:pt>
                <c:pt idx="36">
                  <c:v>51.7</c:v>
                </c:pt>
                <c:pt idx="37">
                  <c:v>78.2</c:v>
                </c:pt>
                <c:pt idx="39">
                  <c:v>19</c:v>
                </c:pt>
                <c:pt idx="40">
                  <c:v>71.349999999999994</c:v>
                </c:pt>
                <c:pt idx="42">
                  <c:v>26.95</c:v>
                </c:pt>
                <c:pt idx="43">
                  <c:v>126</c:v>
                </c:pt>
                <c:pt idx="44">
                  <c:v>26.2</c:v>
                </c:pt>
                <c:pt idx="45">
                  <c:v>102.6</c:v>
                </c:pt>
                <c:pt idx="46">
                  <c:v>72.25</c:v>
                </c:pt>
                <c:pt idx="47">
                  <c:v>50.75</c:v>
                </c:pt>
                <c:pt idx="48">
                  <c:v>34.4</c:v>
                </c:pt>
              </c:numCache>
            </c:numRef>
          </c:val>
          <c:extLst>
            <c:ext xmlns:c16="http://schemas.microsoft.com/office/drawing/2014/chart" uri="{C3380CC4-5D6E-409C-BE32-E72D297353CC}">
              <c16:uniqueId val="{00000000-AF33-4820-A15A-3628C6D9B8E2}"/>
            </c:ext>
          </c:extLst>
        </c:ser>
        <c:ser>
          <c:idx val="1"/>
          <c:order val="1"/>
          <c:tx>
            <c:strRef>
              <c:f>'Pivot tables'!$C$23:$C$24</c:f>
              <c:strCache>
                <c:ptCount val="1"/>
                <c:pt idx="0">
                  <c:v>Fashion</c:v>
                </c:pt>
              </c:strCache>
            </c:strRef>
          </c:tx>
          <c:spPr>
            <a:solidFill>
              <a:schemeClr val="accent2"/>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tables'!$C$25:$C$75</c:f>
              <c:numCache>
                <c:formatCode>General</c:formatCode>
                <c:ptCount val="50"/>
                <c:pt idx="0">
                  <c:v>89.55</c:v>
                </c:pt>
                <c:pt idx="1">
                  <c:v>143.5</c:v>
                </c:pt>
                <c:pt idx="3">
                  <c:v>41.45</c:v>
                </c:pt>
                <c:pt idx="4">
                  <c:v>186.60000000000002</c:v>
                </c:pt>
                <c:pt idx="5">
                  <c:v>25.5</c:v>
                </c:pt>
                <c:pt idx="7">
                  <c:v>87.800000000000011</c:v>
                </c:pt>
                <c:pt idx="10">
                  <c:v>44.05</c:v>
                </c:pt>
                <c:pt idx="12">
                  <c:v>65.099999999999994</c:v>
                </c:pt>
                <c:pt idx="13">
                  <c:v>118.14999999999999</c:v>
                </c:pt>
                <c:pt idx="15">
                  <c:v>96.25</c:v>
                </c:pt>
                <c:pt idx="17">
                  <c:v>32.15</c:v>
                </c:pt>
                <c:pt idx="18">
                  <c:v>155.95000000000002</c:v>
                </c:pt>
                <c:pt idx="19">
                  <c:v>49.7</c:v>
                </c:pt>
                <c:pt idx="20">
                  <c:v>125.35</c:v>
                </c:pt>
                <c:pt idx="21">
                  <c:v>108.75</c:v>
                </c:pt>
                <c:pt idx="22">
                  <c:v>200.10000000000002</c:v>
                </c:pt>
                <c:pt idx="23">
                  <c:v>200.2</c:v>
                </c:pt>
                <c:pt idx="24">
                  <c:v>90.1</c:v>
                </c:pt>
                <c:pt idx="25">
                  <c:v>238</c:v>
                </c:pt>
                <c:pt idx="26">
                  <c:v>19.399999999999999</c:v>
                </c:pt>
                <c:pt idx="27">
                  <c:v>128.65</c:v>
                </c:pt>
                <c:pt idx="28">
                  <c:v>37.799999999999997</c:v>
                </c:pt>
                <c:pt idx="29">
                  <c:v>156.75</c:v>
                </c:pt>
                <c:pt idx="30">
                  <c:v>91.9</c:v>
                </c:pt>
                <c:pt idx="31">
                  <c:v>22.6</c:v>
                </c:pt>
                <c:pt idx="32">
                  <c:v>50.4</c:v>
                </c:pt>
                <c:pt idx="34">
                  <c:v>80.8</c:v>
                </c:pt>
                <c:pt idx="35">
                  <c:v>31.75</c:v>
                </c:pt>
                <c:pt idx="36">
                  <c:v>33.65</c:v>
                </c:pt>
                <c:pt idx="37">
                  <c:v>10.050000000000001</c:v>
                </c:pt>
                <c:pt idx="38">
                  <c:v>127.80000000000001</c:v>
                </c:pt>
                <c:pt idx="39">
                  <c:v>161.75</c:v>
                </c:pt>
                <c:pt idx="41">
                  <c:v>50.6</c:v>
                </c:pt>
                <c:pt idx="42">
                  <c:v>63.45</c:v>
                </c:pt>
                <c:pt idx="43">
                  <c:v>212.39999999999998</c:v>
                </c:pt>
                <c:pt idx="46">
                  <c:v>87.800000000000011</c:v>
                </c:pt>
                <c:pt idx="47">
                  <c:v>264.20000000000005</c:v>
                </c:pt>
                <c:pt idx="48">
                  <c:v>97.4</c:v>
                </c:pt>
                <c:pt idx="49">
                  <c:v>171.8</c:v>
                </c:pt>
              </c:numCache>
            </c:numRef>
          </c:val>
          <c:extLst>
            <c:ext xmlns:c16="http://schemas.microsoft.com/office/drawing/2014/chart" uri="{C3380CC4-5D6E-409C-BE32-E72D297353CC}">
              <c16:uniqueId val="{00000008-AF33-4820-A15A-3628C6D9B8E2}"/>
            </c:ext>
          </c:extLst>
        </c:ser>
        <c:ser>
          <c:idx val="2"/>
          <c:order val="2"/>
          <c:tx>
            <c:strRef>
              <c:f>'Pivot tables'!$D$23:$D$24</c:f>
              <c:strCache>
                <c:ptCount val="1"/>
                <c:pt idx="0">
                  <c:v>Food</c:v>
                </c:pt>
              </c:strCache>
            </c:strRef>
          </c:tx>
          <c:spPr>
            <a:solidFill>
              <a:schemeClr val="accent3"/>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tables'!$D$25:$D$75</c:f>
              <c:numCache>
                <c:formatCode>General</c:formatCode>
                <c:ptCount val="50"/>
                <c:pt idx="0">
                  <c:v>52.55</c:v>
                </c:pt>
                <c:pt idx="2">
                  <c:v>171.00000000000003</c:v>
                </c:pt>
                <c:pt idx="3">
                  <c:v>136.69999999999999</c:v>
                </c:pt>
                <c:pt idx="5">
                  <c:v>83.45</c:v>
                </c:pt>
                <c:pt idx="6">
                  <c:v>130.44999999999999</c:v>
                </c:pt>
                <c:pt idx="7">
                  <c:v>68.650000000000006</c:v>
                </c:pt>
                <c:pt idx="8">
                  <c:v>56.099999999999994</c:v>
                </c:pt>
                <c:pt idx="10">
                  <c:v>202.75</c:v>
                </c:pt>
                <c:pt idx="11">
                  <c:v>162.5</c:v>
                </c:pt>
                <c:pt idx="12">
                  <c:v>45.95</c:v>
                </c:pt>
                <c:pt idx="13">
                  <c:v>42.75</c:v>
                </c:pt>
                <c:pt idx="14">
                  <c:v>70.349999999999994</c:v>
                </c:pt>
                <c:pt idx="15">
                  <c:v>100.75</c:v>
                </c:pt>
                <c:pt idx="17">
                  <c:v>46.65</c:v>
                </c:pt>
                <c:pt idx="18">
                  <c:v>70.45</c:v>
                </c:pt>
                <c:pt idx="19">
                  <c:v>160.6</c:v>
                </c:pt>
                <c:pt idx="20">
                  <c:v>64.150000000000006</c:v>
                </c:pt>
                <c:pt idx="21">
                  <c:v>142.35</c:v>
                </c:pt>
                <c:pt idx="22">
                  <c:v>77.650000000000006</c:v>
                </c:pt>
                <c:pt idx="23">
                  <c:v>155.25</c:v>
                </c:pt>
                <c:pt idx="24">
                  <c:v>99.3</c:v>
                </c:pt>
                <c:pt idx="25">
                  <c:v>63.75</c:v>
                </c:pt>
                <c:pt idx="26">
                  <c:v>70</c:v>
                </c:pt>
                <c:pt idx="27">
                  <c:v>142.85</c:v>
                </c:pt>
                <c:pt idx="28">
                  <c:v>118.39999999999999</c:v>
                </c:pt>
                <c:pt idx="29">
                  <c:v>111.55</c:v>
                </c:pt>
                <c:pt idx="31">
                  <c:v>97</c:v>
                </c:pt>
                <c:pt idx="32">
                  <c:v>67.349999999999994</c:v>
                </c:pt>
                <c:pt idx="33">
                  <c:v>55.3</c:v>
                </c:pt>
                <c:pt idx="34">
                  <c:v>259.8</c:v>
                </c:pt>
                <c:pt idx="36">
                  <c:v>99.05</c:v>
                </c:pt>
                <c:pt idx="37">
                  <c:v>16.850000000000001</c:v>
                </c:pt>
                <c:pt idx="38">
                  <c:v>208.45</c:v>
                </c:pt>
                <c:pt idx="39">
                  <c:v>58.6</c:v>
                </c:pt>
                <c:pt idx="40">
                  <c:v>120.75</c:v>
                </c:pt>
                <c:pt idx="41">
                  <c:v>269.7</c:v>
                </c:pt>
                <c:pt idx="43">
                  <c:v>112.45</c:v>
                </c:pt>
                <c:pt idx="44">
                  <c:v>68.599999999999994</c:v>
                </c:pt>
                <c:pt idx="45">
                  <c:v>30.5</c:v>
                </c:pt>
                <c:pt idx="46">
                  <c:v>52.85</c:v>
                </c:pt>
                <c:pt idx="48">
                  <c:v>212</c:v>
                </c:pt>
              </c:numCache>
            </c:numRef>
          </c:val>
          <c:extLst>
            <c:ext xmlns:c16="http://schemas.microsoft.com/office/drawing/2014/chart" uri="{C3380CC4-5D6E-409C-BE32-E72D297353CC}">
              <c16:uniqueId val="{00000009-AF33-4820-A15A-3628C6D9B8E2}"/>
            </c:ext>
          </c:extLst>
        </c:ser>
        <c:ser>
          <c:idx val="3"/>
          <c:order val="3"/>
          <c:tx>
            <c:strRef>
              <c:f>'Pivot tables'!$E$23:$E$24</c:f>
              <c:strCache>
                <c:ptCount val="1"/>
                <c:pt idx="0">
                  <c:v>Sports</c:v>
                </c:pt>
              </c:strCache>
            </c:strRef>
          </c:tx>
          <c:spPr>
            <a:solidFill>
              <a:schemeClr val="accent4"/>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tables'!$E$25:$E$75</c:f>
              <c:numCache>
                <c:formatCode>General</c:formatCode>
                <c:ptCount val="50"/>
                <c:pt idx="0">
                  <c:v>230.5</c:v>
                </c:pt>
                <c:pt idx="1">
                  <c:v>170</c:v>
                </c:pt>
                <c:pt idx="2">
                  <c:v>82.15</c:v>
                </c:pt>
                <c:pt idx="3">
                  <c:v>34.299999999999997</c:v>
                </c:pt>
                <c:pt idx="4">
                  <c:v>23.15</c:v>
                </c:pt>
                <c:pt idx="5">
                  <c:v>32.299999999999997</c:v>
                </c:pt>
                <c:pt idx="6">
                  <c:v>134.35</c:v>
                </c:pt>
                <c:pt idx="7">
                  <c:v>74.7</c:v>
                </c:pt>
                <c:pt idx="8">
                  <c:v>71.5</c:v>
                </c:pt>
                <c:pt idx="10">
                  <c:v>39.299999999999997</c:v>
                </c:pt>
                <c:pt idx="11">
                  <c:v>114</c:v>
                </c:pt>
                <c:pt idx="13">
                  <c:v>107.5</c:v>
                </c:pt>
                <c:pt idx="14">
                  <c:v>125.65</c:v>
                </c:pt>
                <c:pt idx="15">
                  <c:v>84.2</c:v>
                </c:pt>
                <c:pt idx="17">
                  <c:v>72.650000000000006</c:v>
                </c:pt>
                <c:pt idx="18">
                  <c:v>73.099999999999994</c:v>
                </c:pt>
                <c:pt idx="19">
                  <c:v>48.9</c:v>
                </c:pt>
                <c:pt idx="21">
                  <c:v>18.600000000000001</c:v>
                </c:pt>
                <c:pt idx="22">
                  <c:v>24.4</c:v>
                </c:pt>
                <c:pt idx="23">
                  <c:v>177.20000000000002</c:v>
                </c:pt>
                <c:pt idx="24">
                  <c:v>77.75</c:v>
                </c:pt>
                <c:pt idx="25">
                  <c:v>157.35</c:v>
                </c:pt>
                <c:pt idx="26">
                  <c:v>55.5</c:v>
                </c:pt>
                <c:pt idx="27">
                  <c:v>108.4</c:v>
                </c:pt>
                <c:pt idx="28">
                  <c:v>161.6</c:v>
                </c:pt>
                <c:pt idx="30">
                  <c:v>39.200000000000003</c:v>
                </c:pt>
                <c:pt idx="31">
                  <c:v>164.35</c:v>
                </c:pt>
                <c:pt idx="32">
                  <c:v>113.5</c:v>
                </c:pt>
                <c:pt idx="33">
                  <c:v>99.75</c:v>
                </c:pt>
                <c:pt idx="34">
                  <c:v>108.2</c:v>
                </c:pt>
                <c:pt idx="35">
                  <c:v>152.44999999999999</c:v>
                </c:pt>
                <c:pt idx="36">
                  <c:v>199.14999999999998</c:v>
                </c:pt>
                <c:pt idx="38">
                  <c:v>122.3</c:v>
                </c:pt>
                <c:pt idx="39">
                  <c:v>57.3</c:v>
                </c:pt>
                <c:pt idx="40">
                  <c:v>40</c:v>
                </c:pt>
                <c:pt idx="41">
                  <c:v>174.6</c:v>
                </c:pt>
                <c:pt idx="42">
                  <c:v>49</c:v>
                </c:pt>
                <c:pt idx="43">
                  <c:v>26.35</c:v>
                </c:pt>
                <c:pt idx="44">
                  <c:v>119</c:v>
                </c:pt>
                <c:pt idx="45">
                  <c:v>52.45</c:v>
                </c:pt>
                <c:pt idx="46">
                  <c:v>37.299999999999997</c:v>
                </c:pt>
                <c:pt idx="47">
                  <c:v>98.6</c:v>
                </c:pt>
                <c:pt idx="48">
                  <c:v>63.35</c:v>
                </c:pt>
              </c:numCache>
            </c:numRef>
          </c:val>
          <c:extLst>
            <c:ext xmlns:c16="http://schemas.microsoft.com/office/drawing/2014/chart" uri="{C3380CC4-5D6E-409C-BE32-E72D297353CC}">
              <c16:uniqueId val="{0000000A-AF33-4820-A15A-3628C6D9B8E2}"/>
            </c:ext>
          </c:extLst>
        </c:ser>
        <c:ser>
          <c:idx val="4"/>
          <c:order val="4"/>
          <c:tx>
            <c:strRef>
              <c:f>'Pivot tables'!$F$23:$F$24</c:f>
              <c:strCache>
                <c:ptCount val="1"/>
                <c:pt idx="0">
                  <c:v>Tech</c:v>
                </c:pt>
              </c:strCache>
            </c:strRef>
          </c:tx>
          <c:spPr>
            <a:solidFill>
              <a:schemeClr val="accent5"/>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tables'!$F$25:$F$75</c:f>
              <c:numCache>
                <c:formatCode>General</c:formatCode>
                <c:ptCount val="50"/>
                <c:pt idx="0">
                  <c:v>60.599999999999994</c:v>
                </c:pt>
                <c:pt idx="1">
                  <c:v>96</c:v>
                </c:pt>
                <c:pt idx="2">
                  <c:v>167.8</c:v>
                </c:pt>
                <c:pt idx="4">
                  <c:v>56.2</c:v>
                </c:pt>
                <c:pt idx="5">
                  <c:v>125.5</c:v>
                </c:pt>
                <c:pt idx="6">
                  <c:v>57.35</c:v>
                </c:pt>
                <c:pt idx="7">
                  <c:v>23.5</c:v>
                </c:pt>
                <c:pt idx="8">
                  <c:v>65.849999999999994</c:v>
                </c:pt>
                <c:pt idx="12">
                  <c:v>60.15</c:v>
                </c:pt>
                <c:pt idx="14">
                  <c:v>29.9</c:v>
                </c:pt>
                <c:pt idx="15">
                  <c:v>39.15</c:v>
                </c:pt>
                <c:pt idx="16">
                  <c:v>310.64999999999998</c:v>
                </c:pt>
                <c:pt idx="18">
                  <c:v>37.049999999999997</c:v>
                </c:pt>
                <c:pt idx="19">
                  <c:v>59</c:v>
                </c:pt>
                <c:pt idx="21">
                  <c:v>146.94999999999999</c:v>
                </c:pt>
                <c:pt idx="22">
                  <c:v>49.75</c:v>
                </c:pt>
                <c:pt idx="23">
                  <c:v>153</c:v>
                </c:pt>
                <c:pt idx="24">
                  <c:v>29.4</c:v>
                </c:pt>
                <c:pt idx="25">
                  <c:v>194.75</c:v>
                </c:pt>
                <c:pt idx="27">
                  <c:v>193.85</c:v>
                </c:pt>
                <c:pt idx="29">
                  <c:v>67.8</c:v>
                </c:pt>
                <c:pt idx="31">
                  <c:v>120.35</c:v>
                </c:pt>
                <c:pt idx="32">
                  <c:v>147.9</c:v>
                </c:pt>
                <c:pt idx="33">
                  <c:v>69.349999999999994</c:v>
                </c:pt>
                <c:pt idx="34">
                  <c:v>143.85000000000002</c:v>
                </c:pt>
                <c:pt idx="35">
                  <c:v>64.2</c:v>
                </c:pt>
                <c:pt idx="36">
                  <c:v>181.75</c:v>
                </c:pt>
                <c:pt idx="38">
                  <c:v>84.75</c:v>
                </c:pt>
                <c:pt idx="39">
                  <c:v>120.9</c:v>
                </c:pt>
                <c:pt idx="41">
                  <c:v>67.95</c:v>
                </c:pt>
                <c:pt idx="43">
                  <c:v>103.05000000000001</c:v>
                </c:pt>
                <c:pt idx="44">
                  <c:v>62.55</c:v>
                </c:pt>
                <c:pt idx="45">
                  <c:v>76.099999999999994</c:v>
                </c:pt>
                <c:pt idx="46">
                  <c:v>126.8</c:v>
                </c:pt>
                <c:pt idx="47">
                  <c:v>65.45</c:v>
                </c:pt>
                <c:pt idx="48">
                  <c:v>64.849999999999994</c:v>
                </c:pt>
                <c:pt idx="49">
                  <c:v>44.2</c:v>
                </c:pt>
              </c:numCache>
            </c:numRef>
          </c:val>
          <c:extLst>
            <c:ext xmlns:c16="http://schemas.microsoft.com/office/drawing/2014/chart" uri="{C3380CC4-5D6E-409C-BE32-E72D297353CC}">
              <c16:uniqueId val="{0000000B-AF33-4820-A15A-3628C6D9B8E2}"/>
            </c:ext>
          </c:extLst>
        </c:ser>
        <c:ser>
          <c:idx val="5"/>
          <c:order val="5"/>
          <c:tx>
            <c:strRef>
              <c:f>'Pivot tables'!$G$23:$G$24</c:f>
              <c:strCache>
                <c:ptCount val="1"/>
                <c:pt idx="0">
                  <c:v>Travel</c:v>
                </c:pt>
              </c:strCache>
            </c:strRef>
          </c:tx>
          <c:spPr>
            <a:solidFill>
              <a:schemeClr val="accent6"/>
            </a:solidFill>
            <a:ln>
              <a:noFill/>
            </a:ln>
            <a:effectLst/>
          </c:spPr>
          <c:invertIfNegative val="0"/>
          <c:cat>
            <c:strRef>
              <c:f>'Pivot tables'!$A$25:$A$75</c:f>
              <c:strCache>
                <c:ptCount val="50"/>
                <c:pt idx="0">
                  <c:v>U001</c:v>
                </c:pt>
                <c:pt idx="1">
                  <c:v>U002</c:v>
                </c:pt>
                <c:pt idx="2">
                  <c:v>U003</c:v>
                </c:pt>
                <c:pt idx="3">
                  <c:v>U004</c:v>
                </c:pt>
                <c:pt idx="4">
                  <c:v>U005</c:v>
                </c:pt>
                <c:pt idx="5">
                  <c:v>U006</c:v>
                </c:pt>
                <c:pt idx="6">
                  <c:v>U007</c:v>
                </c:pt>
                <c:pt idx="7">
                  <c:v>U008</c:v>
                </c:pt>
                <c:pt idx="8">
                  <c:v>U009</c:v>
                </c:pt>
                <c:pt idx="9">
                  <c:v>U010</c:v>
                </c:pt>
                <c:pt idx="10">
                  <c:v>U011</c:v>
                </c:pt>
                <c:pt idx="11">
                  <c:v>U012</c:v>
                </c:pt>
                <c:pt idx="12">
                  <c:v>U013</c:v>
                </c:pt>
                <c:pt idx="13">
                  <c:v>U014</c:v>
                </c:pt>
                <c:pt idx="14">
                  <c:v>U015</c:v>
                </c:pt>
                <c:pt idx="15">
                  <c:v>U016</c:v>
                </c:pt>
                <c:pt idx="16">
                  <c:v>U017</c:v>
                </c:pt>
                <c:pt idx="17">
                  <c:v>U018</c:v>
                </c:pt>
                <c:pt idx="18">
                  <c:v>U019</c:v>
                </c:pt>
                <c:pt idx="19">
                  <c:v>U020</c:v>
                </c:pt>
                <c:pt idx="20">
                  <c:v>U021</c:v>
                </c:pt>
                <c:pt idx="21">
                  <c:v>U022</c:v>
                </c:pt>
                <c:pt idx="22">
                  <c:v>U023</c:v>
                </c:pt>
                <c:pt idx="23">
                  <c:v>U024</c:v>
                </c:pt>
                <c:pt idx="24">
                  <c:v>U025</c:v>
                </c:pt>
                <c:pt idx="25">
                  <c:v>U026</c:v>
                </c:pt>
                <c:pt idx="26">
                  <c:v>U027</c:v>
                </c:pt>
                <c:pt idx="27">
                  <c:v>U028</c:v>
                </c:pt>
                <c:pt idx="28">
                  <c:v>U029</c:v>
                </c:pt>
                <c:pt idx="29">
                  <c:v>U030</c:v>
                </c:pt>
                <c:pt idx="30">
                  <c:v>U031</c:v>
                </c:pt>
                <c:pt idx="31">
                  <c:v>U032</c:v>
                </c:pt>
                <c:pt idx="32">
                  <c:v>U033</c:v>
                </c:pt>
                <c:pt idx="33">
                  <c:v>U034</c:v>
                </c:pt>
                <c:pt idx="34">
                  <c:v>U035</c:v>
                </c:pt>
                <c:pt idx="35">
                  <c:v>U036</c:v>
                </c:pt>
                <c:pt idx="36">
                  <c:v>U037</c:v>
                </c:pt>
                <c:pt idx="37">
                  <c:v>U038</c:v>
                </c:pt>
                <c:pt idx="38">
                  <c:v>U039</c:v>
                </c:pt>
                <c:pt idx="39">
                  <c:v>U040</c:v>
                </c:pt>
                <c:pt idx="40">
                  <c:v>U041</c:v>
                </c:pt>
                <c:pt idx="41">
                  <c:v>U042</c:v>
                </c:pt>
                <c:pt idx="42">
                  <c:v>U043</c:v>
                </c:pt>
                <c:pt idx="43">
                  <c:v>U044</c:v>
                </c:pt>
                <c:pt idx="44">
                  <c:v>U045</c:v>
                </c:pt>
                <c:pt idx="45">
                  <c:v>U046</c:v>
                </c:pt>
                <c:pt idx="46">
                  <c:v>U047</c:v>
                </c:pt>
                <c:pt idx="47">
                  <c:v>U048</c:v>
                </c:pt>
                <c:pt idx="48">
                  <c:v>U049</c:v>
                </c:pt>
                <c:pt idx="49">
                  <c:v>U050</c:v>
                </c:pt>
              </c:strCache>
            </c:strRef>
          </c:cat>
          <c:val>
            <c:numRef>
              <c:f>'Pivot tables'!$G$25:$G$75</c:f>
              <c:numCache>
                <c:formatCode>General</c:formatCode>
                <c:ptCount val="50"/>
                <c:pt idx="0">
                  <c:v>107.35</c:v>
                </c:pt>
                <c:pt idx="1">
                  <c:v>117.25</c:v>
                </c:pt>
                <c:pt idx="2">
                  <c:v>77.650000000000006</c:v>
                </c:pt>
                <c:pt idx="4">
                  <c:v>49.4</c:v>
                </c:pt>
                <c:pt idx="5">
                  <c:v>89.25</c:v>
                </c:pt>
                <c:pt idx="6">
                  <c:v>29.2</c:v>
                </c:pt>
                <c:pt idx="7">
                  <c:v>152.44999999999999</c:v>
                </c:pt>
                <c:pt idx="8">
                  <c:v>108.4</c:v>
                </c:pt>
                <c:pt idx="9">
                  <c:v>35.75</c:v>
                </c:pt>
                <c:pt idx="10">
                  <c:v>58.2</c:v>
                </c:pt>
                <c:pt idx="11">
                  <c:v>136.1</c:v>
                </c:pt>
                <c:pt idx="12">
                  <c:v>76.2</c:v>
                </c:pt>
                <c:pt idx="13">
                  <c:v>110</c:v>
                </c:pt>
                <c:pt idx="16">
                  <c:v>94.399999999999991</c:v>
                </c:pt>
                <c:pt idx="18">
                  <c:v>38</c:v>
                </c:pt>
                <c:pt idx="20">
                  <c:v>120</c:v>
                </c:pt>
                <c:pt idx="21">
                  <c:v>19.55</c:v>
                </c:pt>
                <c:pt idx="22">
                  <c:v>36.049999999999997</c:v>
                </c:pt>
                <c:pt idx="24">
                  <c:v>32.049999999999997</c:v>
                </c:pt>
                <c:pt idx="25">
                  <c:v>61.6</c:v>
                </c:pt>
                <c:pt idx="26">
                  <c:v>131.94999999999999</c:v>
                </c:pt>
                <c:pt idx="27">
                  <c:v>35.950000000000003</c:v>
                </c:pt>
                <c:pt idx="28">
                  <c:v>172.3</c:v>
                </c:pt>
                <c:pt idx="29">
                  <c:v>110.30000000000001</c:v>
                </c:pt>
                <c:pt idx="30">
                  <c:v>27.1</c:v>
                </c:pt>
                <c:pt idx="31">
                  <c:v>126.1</c:v>
                </c:pt>
                <c:pt idx="32">
                  <c:v>368.15</c:v>
                </c:pt>
                <c:pt idx="33">
                  <c:v>149.05000000000001</c:v>
                </c:pt>
                <c:pt idx="34">
                  <c:v>146.4</c:v>
                </c:pt>
                <c:pt idx="35">
                  <c:v>81.8</c:v>
                </c:pt>
                <c:pt idx="36">
                  <c:v>113.75</c:v>
                </c:pt>
                <c:pt idx="37">
                  <c:v>77.8</c:v>
                </c:pt>
                <c:pt idx="38">
                  <c:v>129.15</c:v>
                </c:pt>
                <c:pt idx="39">
                  <c:v>43.55</c:v>
                </c:pt>
                <c:pt idx="40">
                  <c:v>36.549999999999997</c:v>
                </c:pt>
                <c:pt idx="42">
                  <c:v>46.1</c:v>
                </c:pt>
                <c:pt idx="43">
                  <c:v>60.5</c:v>
                </c:pt>
                <c:pt idx="44">
                  <c:v>147.20000000000002</c:v>
                </c:pt>
                <c:pt idx="45">
                  <c:v>33.9</c:v>
                </c:pt>
                <c:pt idx="46">
                  <c:v>66.400000000000006</c:v>
                </c:pt>
                <c:pt idx="47">
                  <c:v>85.4</c:v>
                </c:pt>
                <c:pt idx="48">
                  <c:v>67.849999999999994</c:v>
                </c:pt>
                <c:pt idx="49">
                  <c:v>98.800000000000011</c:v>
                </c:pt>
              </c:numCache>
            </c:numRef>
          </c:val>
          <c:extLst>
            <c:ext xmlns:c16="http://schemas.microsoft.com/office/drawing/2014/chart" uri="{C3380CC4-5D6E-409C-BE32-E72D297353CC}">
              <c16:uniqueId val="{0000000C-AF33-4820-A15A-3628C6D9B8E2}"/>
            </c:ext>
          </c:extLst>
        </c:ser>
        <c:dLbls>
          <c:showLegendKey val="0"/>
          <c:showVal val="0"/>
          <c:showCatName val="0"/>
          <c:showSerName val="0"/>
          <c:showPercent val="0"/>
          <c:showBubbleSize val="0"/>
        </c:dLbls>
        <c:gapWidth val="219"/>
        <c:overlap val="-27"/>
        <c:axId val="202345584"/>
        <c:axId val="202346064"/>
      </c:barChart>
      <c:catAx>
        <c:axId val="202345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6064"/>
        <c:crosses val="autoZero"/>
        <c:auto val="1"/>
        <c:lblAlgn val="ctr"/>
        <c:lblOffset val="100"/>
        <c:noMultiLvlLbl val="0"/>
      </c:catAx>
      <c:valAx>
        <c:axId val="20234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Watch</a:t>
            </a:r>
            <a:r>
              <a:rPr lang="en-IN" baseline="0"/>
              <a:t> time Vs Engagement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User_data!$F$2</c:f>
              <c:strCache>
                <c:ptCount val="1"/>
                <c:pt idx="0">
                  <c:v>Watch_Time(sec)</c:v>
                </c:pt>
              </c:strCache>
            </c:strRef>
          </c:tx>
          <c:spPr>
            <a:ln w="38100" cap="rnd">
              <a:noFill/>
              <a:round/>
            </a:ln>
            <a:effectLst/>
          </c:spPr>
          <c:marker>
            <c:symbol val="circle"/>
            <c:size val="5"/>
            <c:spPr>
              <a:solidFill>
                <a:schemeClr val="accent3"/>
              </a:solidFill>
              <a:ln w="9525">
                <a:solidFill>
                  <a:schemeClr val="accent3"/>
                </a:solidFill>
              </a:ln>
              <a:effectLst/>
            </c:spPr>
          </c:marker>
          <c:xVal>
            <c:multiLvlStrRef>
              <c:f>User_data!$A$3:$C$502</c:f>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f>User_data!$F$3:$F$502</c:f>
              <c:numCache>
                <c:formatCode>General</c:formatCode>
                <c:ptCount val="500"/>
                <c:pt idx="0">
                  <c:v>42</c:v>
                </c:pt>
                <c:pt idx="1">
                  <c:v>117</c:v>
                </c:pt>
                <c:pt idx="2">
                  <c:v>118</c:v>
                </c:pt>
                <c:pt idx="3">
                  <c:v>68</c:v>
                </c:pt>
                <c:pt idx="4">
                  <c:v>46</c:v>
                </c:pt>
                <c:pt idx="5">
                  <c:v>63</c:v>
                </c:pt>
                <c:pt idx="6">
                  <c:v>14</c:v>
                </c:pt>
                <c:pt idx="7">
                  <c:v>71</c:v>
                </c:pt>
                <c:pt idx="8">
                  <c:v>99</c:v>
                </c:pt>
                <c:pt idx="9">
                  <c:v>59</c:v>
                </c:pt>
                <c:pt idx="10">
                  <c:v>45</c:v>
                </c:pt>
                <c:pt idx="11">
                  <c:v>108</c:v>
                </c:pt>
                <c:pt idx="12">
                  <c:v>33</c:v>
                </c:pt>
                <c:pt idx="13">
                  <c:v>114</c:v>
                </c:pt>
                <c:pt idx="14">
                  <c:v>108</c:v>
                </c:pt>
                <c:pt idx="15">
                  <c:v>88</c:v>
                </c:pt>
                <c:pt idx="16">
                  <c:v>49</c:v>
                </c:pt>
                <c:pt idx="17">
                  <c:v>0</c:v>
                </c:pt>
                <c:pt idx="18">
                  <c:v>68</c:v>
                </c:pt>
                <c:pt idx="19">
                  <c:v>104</c:v>
                </c:pt>
                <c:pt idx="20">
                  <c:v>62</c:v>
                </c:pt>
                <c:pt idx="21">
                  <c:v>98</c:v>
                </c:pt>
                <c:pt idx="22">
                  <c:v>113</c:v>
                </c:pt>
                <c:pt idx="23">
                  <c:v>21</c:v>
                </c:pt>
                <c:pt idx="24">
                  <c:v>85</c:v>
                </c:pt>
                <c:pt idx="25">
                  <c:v>54</c:v>
                </c:pt>
                <c:pt idx="26">
                  <c:v>65</c:v>
                </c:pt>
                <c:pt idx="27">
                  <c:v>99</c:v>
                </c:pt>
                <c:pt idx="28">
                  <c:v>58</c:v>
                </c:pt>
                <c:pt idx="29">
                  <c:v>118</c:v>
                </c:pt>
                <c:pt idx="30">
                  <c:v>18</c:v>
                </c:pt>
                <c:pt idx="31">
                  <c:v>12</c:v>
                </c:pt>
                <c:pt idx="32">
                  <c:v>74</c:v>
                </c:pt>
                <c:pt idx="33">
                  <c:v>65</c:v>
                </c:pt>
                <c:pt idx="34">
                  <c:v>74</c:v>
                </c:pt>
                <c:pt idx="35">
                  <c:v>35</c:v>
                </c:pt>
                <c:pt idx="36">
                  <c:v>53</c:v>
                </c:pt>
                <c:pt idx="37">
                  <c:v>35</c:v>
                </c:pt>
                <c:pt idx="38">
                  <c:v>77</c:v>
                </c:pt>
                <c:pt idx="39">
                  <c:v>16</c:v>
                </c:pt>
                <c:pt idx="40">
                  <c:v>65</c:v>
                </c:pt>
                <c:pt idx="41">
                  <c:v>56</c:v>
                </c:pt>
                <c:pt idx="42">
                  <c:v>12</c:v>
                </c:pt>
                <c:pt idx="43">
                  <c:v>106</c:v>
                </c:pt>
                <c:pt idx="44">
                  <c:v>17</c:v>
                </c:pt>
                <c:pt idx="45">
                  <c:v>31</c:v>
                </c:pt>
                <c:pt idx="46">
                  <c:v>48</c:v>
                </c:pt>
                <c:pt idx="47">
                  <c:v>32</c:v>
                </c:pt>
                <c:pt idx="48">
                  <c:v>104</c:v>
                </c:pt>
                <c:pt idx="49">
                  <c:v>73</c:v>
                </c:pt>
                <c:pt idx="50">
                  <c:v>105</c:v>
                </c:pt>
                <c:pt idx="51">
                  <c:v>91</c:v>
                </c:pt>
                <c:pt idx="52">
                  <c:v>103</c:v>
                </c:pt>
                <c:pt idx="53">
                  <c:v>12</c:v>
                </c:pt>
                <c:pt idx="54">
                  <c:v>4</c:v>
                </c:pt>
                <c:pt idx="55">
                  <c:v>120</c:v>
                </c:pt>
                <c:pt idx="56">
                  <c:v>7</c:v>
                </c:pt>
                <c:pt idx="57">
                  <c:v>42</c:v>
                </c:pt>
                <c:pt idx="58">
                  <c:v>88</c:v>
                </c:pt>
                <c:pt idx="59">
                  <c:v>67</c:v>
                </c:pt>
                <c:pt idx="60">
                  <c:v>69</c:v>
                </c:pt>
                <c:pt idx="61">
                  <c:v>6</c:v>
                </c:pt>
                <c:pt idx="62">
                  <c:v>118</c:v>
                </c:pt>
                <c:pt idx="63">
                  <c:v>10</c:v>
                </c:pt>
                <c:pt idx="64">
                  <c:v>93</c:v>
                </c:pt>
                <c:pt idx="65">
                  <c:v>59</c:v>
                </c:pt>
                <c:pt idx="66">
                  <c:v>0</c:v>
                </c:pt>
                <c:pt idx="67">
                  <c:v>27</c:v>
                </c:pt>
                <c:pt idx="68">
                  <c:v>44</c:v>
                </c:pt>
                <c:pt idx="69">
                  <c:v>70</c:v>
                </c:pt>
                <c:pt idx="70">
                  <c:v>34</c:v>
                </c:pt>
                <c:pt idx="71">
                  <c:v>35</c:v>
                </c:pt>
                <c:pt idx="72">
                  <c:v>67</c:v>
                </c:pt>
                <c:pt idx="73">
                  <c:v>59</c:v>
                </c:pt>
                <c:pt idx="74">
                  <c:v>13</c:v>
                </c:pt>
                <c:pt idx="75">
                  <c:v>30</c:v>
                </c:pt>
                <c:pt idx="76">
                  <c:v>27</c:v>
                </c:pt>
                <c:pt idx="77">
                  <c:v>46</c:v>
                </c:pt>
                <c:pt idx="78">
                  <c:v>78</c:v>
                </c:pt>
                <c:pt idx="79">
                  <c:v>73</c:v>
                </c:pt>
                <c:pt idx="80">
                  <c:v>11</c:v>
                </c:pt>
                <c:pt idx="81">
                  <c:v>24</c:v>
                </c:pt>
                <c:pt idx="82">
                  <c:v>116</c:v>
                </c:pt>
                <c:pt idx="83">
                  <c:v>59</c:v>
                </c:pt>
                <c:pt idx="84">
                  <c:v>36</c:v>
                </c:pt>
                <c:pt idx="85">
                  <c:v>41</c:v>
                </c:pt>
                <c:pt idx="86">
                  <c:v>68</c:v>
                </c:pt>
                <c:pt idx="87">
                  <c:v>56</c:v>
                </c:pt>
                <c:pt idx="88">
                  <c:v>110</c:v>
                </c:pt>
                <c:pt idx="89">
                  <c:v>105</c:v>
                </c:pt>
                <c:pt idx="90">
                  <c:v>113</c:v>
                </c:pt>
                <c:pt idx="91">
                  <c:v>18</c:v>
                </c:pt>
                <c:pt idx="92">
                  <c:v>8</c:v>
                </c:pt>
                <c:pt idx="93">
                  <c:v>14</c:v>
                </c:pt>
                <c:pt idx="94">
                  <c:v>102</c:v>
                </c:pt>
                <c:pt idx="95">
                  <c:v>75</c:v>
                </c:pt>
                <c:pt idx="96">
                  <c:v>95</c:v>
                </c:pt>
                <c:pt idx="97">
                  <c:v>104</c:v>
                </c:pt>
                <c:pt idx="98">
                  <c:v>106</c:v>
                </c:pt>
                <c:pt idx="99">
                  <c:v>95</c:v>
                </c:pt>
                <c:pt idx="100">
                  <c:v>72</c:v>
                </c:pt>
                <c:pt idx="101">
                  <c:v>101</c:v>
                </c:pt>
                <c:pt idx="102">
                  <c:v>20</c:v>
                </c:pt>
                <c:pt idx="103">
                  <c:v>25</c:v>
                </c:pt>
                <c:pt idx="104">
                  <c:v>117</c:v>
                </c:pt>
                <c:pt idx="105">
                  <c:v>5</c:v>
                </c:pt>
                <c:pt idx="106">
                  <c:v>67</c:v>
                </c:pt>
                <c:pt idx="107">
                  <c:v>77</c:v>
                </c:pt>
                <c:pt idx="108">
                  <c:v>20</c:v>
                </c:pt>
                <c:pt idx="109">
                  <c:v>17</c:v>
                </c:pt>
                <c:pt idx="110">
                  <c:v>23</c:v>
                </c:pt>
                <c:pt idx="111">
                  <c:v>2</c:v>
                </c:pt>
                <c:pt idx="112">
                  <c:v>43</c:v>
                </c:pt>
                <c:pt idx="113">
                  <c:v>42</c:v>
                </c:pt>
                <c:pt idx="114">
                  <c:v>83</c:v>
                </c:pt>
                <c:pt idx="115">
                  <c:v>64</c:v>
                </c:pt>
                <c:pt idx="116">
                  <c:v>36</c:v>
                </c:pt>
                <c:pt idx="117">
                  <c:v>63</c:v>
                </c:pt>
                <c:pt idx="118">
                  <c:v>118</c:v>
                </c:pt>
                <c:pt idx="119">
                  <c:v>88</c:v>
                </c:pt>
                <c:pt idx="120">
                  <c:v>35</c:v>
                </c:pt>
                <c:pt idx="121">
                  <c:v>10</c:v>
                </c:pt>
                <c:pt idx="122">
                  <c:v>116</c:v>
                </c:pt>
                <c:pt idx="123">
                  <c:v>50</c:v>
                </c:pt>
                <c:pt idx="124">
                  <c:v>79</c:v>
                </c:pt>
                <c:pt idx="125">
                  <c:v>88</c:v>
                </c:pt>
                <c:pt idx="126">
                  <c:v>102</c:v>
                </c:pt>
                <c:pt idx="127">
                  <c:v>107</c:v>
                </c:pt>
                <c:pt idx="128">
                  <c:v>98</c:v>
                </c:pt>
                <c:pt idx="129">
                  <c:v>46</c:v>
                </c:pt>
                <c:pt idx="130">
                  <c:v>19</c:v>
                </c:pt>
                <c:pt idx="131">
                  <c:v>19</c:v>
                </c:pt>
                <c:pt idx="132">
                  <c:v>52</c:v>
                </c:pt>
                <c:pt idx="133">
                  <c:v>49</c:v>
                </c:pt>
                <c:pt idx="134">
                  <c:v>103</c:v>
                </c:pt>
                <c:pt idx="135">
                  <c:v>35</c:v>
                </c:pt>
                <c:pt idx="136">
                  <c:v>20</c:v>
                </c:pt>
                <c:pt idx="137">
                  <c:v>96</c:v>
                </c:pt>
                <c:pt idx="138">
                  <c:v>13</c:v>
                </c:pt>
                <c:pt idx="139">
                  <c:v>3</c:v>
                </c:pt>
                <c:pt idx="140">
                  <c:v>97</c:v>
                </c:pt>
                <c:pt idx="141">
                  <c:v>43</c:v>
                </c:pt>
                <c:pt idx="142">
                  <c:v>47</c:v>
                </c:pt>
                <c:pt idx="143">
                  <c:v>42</c:v>
                </c:pt>
                <c:pt idx="144">
                  <c:v>73</c:v>
                </c:pt>
                <c:pt idx="145">
                  <c:v>1</c:v>
                </c:pt>
                <c:pt idx="146">
                  <c:v>109</c:v>
                </c:pt>
                <c:pt idx="147">
                  <c:v>7</c:v>
                </c:pt>
                <c:pt idx="148">
                  <c:v>26</c:v>
                </c:pt>
                <c:pt idx="149">
                  <c:v>83</c:v>
                </c:pt>
                <c:pt idx="150">
                  <c:v>36</c:v>
                </c:pt>
                <c:pt idx="151">
                  <c:v>52</c:v>
                </c:pt>
                <c:pt idx="152">
                  <c:v>116</c:v>
                </c:pt>
                <c:pt idx="153">
                  <c:v>50</c:v>
                </c:pt>
                <c:pt idx="154">
                  <c:v>76</c:v>
                </c:pt>
                <c:pt idx="155">
                  <c:v>8</c:v>
                </c:pt>
                <c:pt idx="156">
                  <c:v>66</c:v>
                </c:pt>
                <c:pt idx="157">
                  <c:v>13</c:v>
                </c:pt>
                <c:pt idx="158">
                  <c:v>100</c:v>
                </c:pt>
                <c:pt idx="159">
                  <c:v>73</c:v>
                </c:pt>
                <c:pt idx="160">
                  <c:v>75</c:v>
                </c:pt>
                <c:pt idx="161">
                  <c:v>86</c:v>
                </c:pt>
                <c:pt idx="162">
                  <c:v>45</c:v>
                </c:pt>
                <c:pt idx="163">
                  <c:v>83</c:v>
                </c:pt>
                <c:pt idx="164">
                  <c:v>48</c:v>
                </c:pt>
                <c:pt idx="165">
                  <c:v>69</c:v>
                </c:pt>
                <c:pt idx="166">
                  <c:v>82</c:v>
                </c:pt>
                <c:pt idx="167">
                  <c:v>0</c:v>
                </c:pt>
                <c:pt idx="168">
                  <c:v>25</c:v>
                </c:pt>
                <c:pt idx="169">
                  <c:v>29</c:v>
                </c:pt>
                <c:pt idx="170">
                  <c:v>17</c:v>
                </c:pt>
                <c:pt idx="171">
                  <c:v>41</c:v>
                </c:pt>
                <c:pt idx="172">
                  <c:v>40</c:v>
                </c:pt>
                <c:pt idx="173">
                  <c:v>7</c:v>
                </c:pt>
                <c:pt idx="174">
                  <c:v>104</c:v>
                </c:pt>
                <c:pt idx="175">
                  <c:v>87</c:v>
                </c:pt>
                <c:pt idx="176">
                  <c:v>69</c:v>
                </c:pt>
                <c:pt idx="177">
                  <c:v>36</c:v>
                </c:pt>
                <c:pt idx="178">
                  <c:v>14</c:v>
                </c:pt>
                <c:pt idx="179">
                  <c:v>18</c:v>
                </c:pt>
                <c:pt idx="180">
                  <c:v>23</c:v>
                </c:pt>
                <c:pt idx="181">
                  <c:v>114</c:v>
                </c:pt>
                <c:pt idx="182">
                  <c:v>86</c:v>
                </c:pt>
                <c:pt idx="183">
                  <c:v>117</c:v>
                </c:pt>
                <c:pt idx="184">
                  <c:v>46</c:v>
                </c:pt>
                <c:pt idx="185">
                  <c:v>28</c:v>
                </c:pt>
                <c:pt idx="186">
                  <c:v>41</c:v>
                </c:pt>
                <c:pt idx="187">
                  <c:v>78</c:v>
                </c:pt>
                <c:pt idx="188">
                  <c:v>11</c:v>
                </c:pt>
                <c:pt idx="189">
                  <c:v>25</c:v>
                </c:pt>
                <c:pt idx="190">
                  <c:v>51</c:v>
                </c:pt>
                <c:pt idx="191">
                  <c:v>97</c:v>
                </c:pt>
                <c:pt idx="192">
                  <c:v>12</c:v>
                </c:pt>
                <c:pt idx="193">
                  <c:v>85</c:v>
                </c:pt>
                <c:pt idx="194">
                  <c:v>12</c:v>
                </c:pt>
                <c:pt idx="195">
                  <c:v>46</c:v>
                </c:pt>
                <c:pt idx="196">
                  <c:v>98</c:v>
                </c:pt>
                <c:pt idx="197">
                  <c:v>107</c:v>
                </c:pt>
                <c:pt idx="198">
                  <c:v>100</c:v>
                </c:pt>
                <c:pt idx="199">
                  <c:v>69</c:v>
                </c:pt>
                <c:pt idx="200">
                  <c:v>50</c:v>
                </c:pt>
                <c:pt idx="201">
                  <c:v>9</c:v>
                </c:pt>
                <c:pt idx="202">
                  <c:v>113</c:v>
                </c:pt>
                <c:pt idx="203">
                  <c:v>55</c:v>
                </c:pt>
                <c:pt idx="204">
                  <c:v>61</c:v>
                </c:pt>
                <c:pt idx="205">
                  <c:v>88</c:v>
                </c:pt>
                <c:pt idx="206">
                  <c:v>41</c:v>
                </c:pt>
                <c:pt idx="207">
                  <c:v>118</c:v>
                </c:pt>
                <c:pt idx="208">
                  <c:v>18</c:v>
                </c:pt>
                <c:pt idx="209">
                  <c:v>68</c:v>
                </c:pt>
                <c:pt idx="210">
                  <c:v>74</c:v>
                </c:pt>
                <c:pt idx="211">
                  <c:v>35</c:v>
                </c:pt>
                <c:pt idx="212">
                  <c:v>99</c:v>
                </c:pt>
                <c:pt idx="213">
                  <c:v>35</c:v>
                </c:pt>
                <c:pt idx="214">
                  <c:v>9</c:v>
                </c:pt>
                <c:pt idx="215">
                  <c:v>63</c:v>
                </c:pt>
                <c:pt idx="216">
                  <c:v>120</c:v>
                </c:pt>
                <c:pt idx="217">
                  <c:v>77</c:v>
                </c:pt>
                <c:pt idx="218">
                  <c:v>46</c:v>
                </c:pt>
                <c:pt idx="219">
                  <c:v>90</c:v>
                </c:pt>
                <c:pt idx="220">
                  <c:v>30</c:v>
                </c:pt>
                <c:pt idx="221">
                  <c:v>27</c:v>
                </c:pt>
                <c:pt idx="222">
                  <c:v>92</c:v>
                </c:pt>
                <c:pt idx="223">
                  <c:v>38</c:v>
                </c:pt>
                <c:pt idx="224">
                  <c:v>119</c:v>
                </c:pt>
                <c:pt idx="225">
                  <c:v>90</c:v>
                </c:pt>
                <c:pt idx="226">
                  <c:v>108</c:v>
                </c:pt>
                <c:pt idx="227">
                  <c:v>1</c:v>
                </c:pt>
                <c:pt idx="228">
                  <c:v>93</c:v>
                </c:pt>
                <c:pt idx="229">
                  <c:v>75</c:v>
                </c:pt>
                <c:pt idx="230">
                  <c:v>4</c:v>
                </c:pt>
                <c:pt idx="231">
                  <c:v>59</c:v>
                </c:pt>
                <c:pt idx="232">
                  <c:v>99</c:v>
                </c:pt>
                <c:pt idx="233">
                  <c:v>42</c:v>
                </c:pt>
                <c:pt idx="234">
                  <c:v>67</c:v>
                </c:pt>
                <c:pt idx="235">
                  <c:v>25</c:v>
                </c:pt>
                <c:pt idx="236">
                  <c:v>48</c:v>
                </c:pt>
                <c:pt idx="237">
                  <c:v>41</c:v>
                </c:pt>
                <c:pt idx="238">
                  <c:v>37</c:v>
                </c:pt>
                <c:pt idx="239">
                  <c:v>4</c:v>
                </c:pt>
                <c:pt idx="240">
                  <c:v>75</c:v>
                </c:pt>
                <c:pt idx="241">
                  <c:v>112</c:v>
                </c:pt>
                <c:pt idx="242">
                  <c:v>113</c:v>
                </c:pt>
                <c:pt idx="243">
                  <c:v>32</c:v>
                </c:pt>
                <c:pt idx="244">
                  <c:v>108</c:v>
                </c:pt>
                <c:pt idx="245">
                  <c:v>101</c:v>
                </c:pt>
                <c:pt idx="246">
                  <c:v>91</c:v>
                </c:pt>
                <c:pt idx="247">
                  <c:v>23</c:v>
                </c:pt>
                <c:pt idx="248">
                  <c:v>38</c:v>
                </c:pt>
                <c:pt idx="249">
                  <c:v>112</c:v>
                </c:pt>
                <c:pt idx="250">
                  <c:v>72</c:v>
                </c:pt>
                <c:pt idx="251">
                  <c:v>31</c:v>
                </c:pt>
                <c:pt idx="252">
                  <c:v>20</c:v>
                </c:pt>
                <c:pt idx="253">
                  <c:v>39</c:v>
                </c:pt>
                <c:pt idx="254">
                  <c:v>28</c:v>
                </c:pt>
                <c:pt idx="255">
                  <c:v>11</c:v>
                </c:pt>
                <c:pt idx="256">
                  <c:v>33</c:v>
                </c:pt>
                <c:pt idx="257">
                  <c:v>29</c:v>
                </c:pt>
                <c:pt idx="258">
                  <c:v>51</c:v>
                </c:pt>
                <c:pt idx="259">
                  <c:v>109</c:v>
                </c:pt>
                <c:pt idx="260">
                  <c:v>117</c:v>
                </c:pt>
                <c:pt idx="261">
                  <c:v>14</c:v>
                </c:pt>
                <c:pt idx="262">
                  <c:v>61</c:v>
                </c:pt>
                <c:pt idx="263">
                  <c:v>55</c:v>
                </c:pt>
                <c:pt idx="264">
                  <c:v>79</c:v>
                </c:pt>
                <c:pt idx="265">
                  <c:v>113</c:v>
                </c:pt>
                <c:pt idx="266">
                  <c:v>84</c:v>
                </c:pt>
                <c:pt idx="267">
                  <c:v>101</c:v>
                </c:pt>
                <c:pt idx="268">
                  <c:v>89</c:v>
                </c:pt>
                <c:pt idx="269">
                  <c:v>18</c:v>
                </c:pt>
                <c:pt idx="270">
                  <c:v>34</c:v>
                </c:pt>
                <c:pt idx="271">
                  <c:v>89</c:v>
                </c:pt>
                <c:pt idx="272">
                  <c:v>73</c:v>
                </c:pt>
                <c:pt idx="273">
                  <c:v>117</c:v>
                </c:pt>
                <c:pt idx="274">
                  <c:v>67</c:v>
                </c:pt>
                <c:pt idx="275">
                  <c:v>91</c:v>
                </c:pt>
                <c:pt idx="276">
                  <c:v>34</c:v>
                </c:pt>
                <c:pt idx="277">
                  <c:v>4</c:v>
                </c:pt>
                <c:pt idx="278">
                  <c:v>43</c:v>
                </c:pt>
                <c:pt idx="279">
                  <c:v>81</c:v>
                </c:pt>
                <c:pt idx="280">
                  <c:v>47</c:v>
                </c:pt>
                <c:pt idx="281">
                  <c:v>93</c:v>
                </c:pt>
                <c:pt idx="282">
                  <c:v>12</c:v>
                </c:pt>
                <c:pt idx="283">
                  <c:v>41</c:v>
                </c:pt>
                <c:pt idx="284">
                  <c:v>96</c:v>
                </c:pt>
                <c:pt idx="285">
                  <c:v>40</c:v>
                </c:pt>
                <c:pt idx="286">
                  <c:v>38</c:v>
                </c:pt>
                <c:pt idx="287">
                  <c:v>38</c:v>
                </c:pt>
                <c:pt idx="288">
                  <c:v>28</c:v>
                </c:pt>
                <c:pt idx="289">
                  <c:v>48</c:v>
                </c:pt>
                <c:pt idx="290">
                  <c:v>33</c:v>
                </c:pt>
                <c:pt idx="291">
                  <c:v>110</c:v>
                </c:pt>
                <c:pt idx="292">
                  <c:v>88</c:v>
                </c:pt>
                <c:pt idx="293">
                  <c:v>77</c:v>
                </c:pt>
                <c:pt idx="294">
                  <c:v>84</c:v>
                </c:pt>
                <c:pt idx="295">
                  <c:v>1</c:v>
                </c:pt>
                <c:pt idx="296">
                  <c:v>44</c:v>
                </c:pt>
                <c:pt idx="297">
                  <c:v>32</c:v>
                </c:pt>
                <c:pt idx="298">
                  <c:v>62</c:v>
                </c:pt>
                <c:pt idx="299">
                  <c:v>6</c:v>
                </c:pt>
                <c:pt idx="300">
                  <c:v>97</c:v>
                </c:pt>
                <c:pt idx="301">
                  <c:v>28</c:v>
                </c:pt>
                <c:pt idx="302">
                  <c:v>22</c:v>
                </c:pt>
                <c:pt idx="303">
                  <c:v>112</c:v>
                </c:pt>
                <c:pt idx="304">
                  <c:v>75</c:v>
                </c:pt>
                <c:pt idx="305">
                  <c:v>65</c:v>
                </c:pt>
                <c:pt idx="306">
                  <c:v>40</c:v>
                </c:pt>
                <c:pt idx="307">
                  <c:v>47</c:v>
                </c:pt>
                <c:pt idx="308">
                  <c:v>53</c:v>
                </c:pt>
                <c:pt idx="309">
                  <c:v>45</c:v>
                </c:pt>
                <c:pt idx="310">
                  <c:v>60</c:v>
                </c:pt>
                <c:pt idx="311">
                  <c:v>105</c:v>
                </c:pt>
                <c:pt idx="312">
                  <c:v>113</c:v>
                </c:pt>
                <c:pt idx="313">
                  <c:v>72</c:v>
                </c:pt>
                <c:pt idx="314">
                  <c:v>89</c:v>
                </c:pt>
                <c:pt idx="315">
                  <c:v>57</c:v>
                </c:pt>
                <c:pt idx="316">
                  <c:v>36</c:v>
                </c:pt>
                <c:pt idx="317">
                  <c:v>60</c:v>
                </c:pt>
                <c:pt idx="318">
                  <c:v>85</c:v>
                </c:pt>
                <c:pt idx="319">
                  <c:v>16</c:v>
                </c:pt>
                <c:pt idx="320">
                  <c:v>113</c:v>
                </c:pt>
                <c:pt idx="321">
                  <c:v>101</c:v>
                </c:pt>
                <c:pt idx="322">
                  <c:v>84</c:v>
                </c:pt>
                <c:pt idx="323">
                  <c:v>116</c:v>
                </c:pt>
                <c:pt idx="324">
                  <c:v>22</c:v>
                </c:pt>
                <c:pt idx="325">
                  <c:v>118</c:v>
                </c:pt>
                <c:pt idx="326">
                  <c:v>14</c:v>
                </c:pt>
                <c:pt idx="327">
                  <c:v>27</c:v>
                </c:pt>
                <c:pt idx="328">
                  <c:v>15</c:v>
                </c:pt>
                <c:pt idx="329">
                  <c:v>112</c:v>
                </c:pt>
                <c:pt idx="330">
                  <c:v>55</c:v>
                </c:pt>
                <c:pt idx="331">
                  <c:v>8</c:v>
                </c:pt>
                <c:pt idx="332">
                  <c:v>47</c:v>
                </c:pt>
                <c:pt idx="333">
                  <c:v>39</c:v>
                </c:pt>
                <c:pt idx="334">
                  <c:v>107</c:v>
                </c:pt>
                <c:pt idx="335">
                  <c:v>74</c:v>
                </c:pt>
                <c:pt idx="336">
                  <c:v>26</c:v>
                </c:pt>
                <c:pt idx="337">
                  <c:v>96</c:v>
                </c:pt>
                <c:pt idx="338">
                  <c:v>67</c:v>
                </c:pt>
                <c:pt idx="339">
                  <c:v>102</c:v>
                </c:pt>
                <c:pt idx="340">
                  <c:v>100</c:v>
                </c:pt>
                <c:pt idx="341">
                  <c:v>75</c:v>
                </c:pt>
                <c:pt idx="342">
                  <c:v>72</c:v>
                </c:pt>
                <c:pt idx="343">
                  <c:v>0</c:v>
                </c:pt>
                <c:pt idx="344">
                  <c:v>34</c:v>
                </c:pt>
                <c:pt idx="345">
                  <c:v>112</c:v>
                </c:pt>
                <c:pt idx="346">
                  <c:v>84</c:v>
                </c:pt>
                <c:pt idx="347">
                  <c:v>78</c:v>
                </c:pt>
                <c:pt idx="348">
                  <c:v>14</c:v>
                </c:pt>
                <c:pt idx="349">
                  <c:v>107</c:v>
                </c:pt>
                <c:pt idx="350">
                  <c:v>1</c:v>
                </c:pt>
                <c:pt idx="351">
                  <c:v>94</c:v>
                </c:pt>
                <c:pt idx="352">
                  <c:v>55</c:v>
                </c:pt>
                <c:pt idx="353">
                  <c:v>79</c:v>
                </c:pt>
                <c:pt idx="354">
                  <c:v>56</c:v>
                </c:pt>
                <c:pt idx="355">
                  <c:v>116</c:v>
                </c:pt>
                <c:pt idx="356">
                  <c:v>1</c:v>
                </c:pt>
                <c:pt idx="357">
                  <c:v>55</c:v>
                </c:pt>
                <c:pt idx="358">
                  <c:v>37</c:v>
                </c:pt>
                <c:pt idx="359">
                  <c:v>22</c:v>
                </c:pt>
                <c:pt idx="360">
                  <c:v>4</c:v>
                </c:pt>
                <c:pt idx="361">
                  <c:v>20</c:v>
                </c:pt>
                <c:pt idx="362">
                  <c:v>49</c:v>
                </c:pt>
                <c:pt idx="363">
                  <c:v>111</c:v>
                </c:pt>
                <c:pt idx="364">
                  <c:v>1</c:v>
                </c:pt>
                <c:pt idx="365">
                  <c:v>69</c:v>
                </c:pt>
                <c:pt idx="366">
                  <c:v>94</c:v>
                </c:pt>
                <c:pt idx="367">
                  <c:v>81</c:v>
                </c:pt>
                <c:pt idx="368">
                  <c:v>79</c:v>
                </c:pt>
                <c:pt idx="369">
                  <c:v>91</c:v>
                </c:pt>
                <c:pt idx="370">
                  <c:v>65</c:v>
                </c:pt>
                <c:pt idx="371">
                  <c:v>73</c:v>
                </c:pt>
                <c:pt idx="372">
                  <c:v>21</c:v>
                </c:pt>
                <c:pt idx="373">
                  <c:v>40</c:v>
                </c:pt>
                <c:pt idx="374">
                  <c:v>96</c:v>
                </c:pt>
                <c:pt idx="375">
                  <c:v>41</c:v>
                </c:pt>
                <c:pt idx="376">
                  <c:v>76</c:v>
                </c:pt>
                <c:pt idx="377">
                  <c:v>97</c:v>
                </c:pt>
                <c:pt idx="378">
                  <c:v>77</c:v>
                </c:pt>
                <c:pt idx="379">
                  <c:v>67</c:v>
                </c:pt>
                <c:pt idx="380">
                  <c:v>3</c:v>
                </c:pt>
                <c:pt idx="381">
                  <c:v>49</c:v>
                </c:pt>
                <c:pt idx="382">
                  <c:v>43</c:v>
                </c:pt>
                <c:pt idx="383">
                  <c:v>119</c:v>
                </c:pt>
                <c:pt idx="384">
                  <c:v>77</c:v>
                </c:pt>
                <c:pt idx="385">
                  <c:v>88</c:v>
                </c:pt>
                <c:pt idx="386">
                  <c:v>110</c:v>
                </c:pt>
                <c:pt idx="387">
                  <c:v>110</c:v>
                </c:pt>
                <c:pt idx="388">
                  <c:v>89</c:v>
                </c:pt>
                <c:pt idx="389">
                  <c:v>32</c:v>
                </c:pt>
                <c:pt idx="390">
                  <c:v>64</c:v>
                </c:pt>
                <c:pt idx="391">
                  <c:v>120</c:v>
                </c:pt>
                <c:pt idx="392">
                  <c:v>70</c:v>
                </c:pt>
                <c:pt idx="393">
                  <c:v>35</c:v>
                </c:pt>
                <c:pt idx="394">
                  <c:v>97</c:v>
                </c:pt>
                <c:pt idx="395">
                  <c:v>69</c:v>
                </c:pt>
                <c:pt idx="396">
                  <c:v>66</c:v>
                </c:pt>
                <c:pt idx="397">
                  <c:v>19</c:v>
                </c:pt>
                <c:pt idx="398">
                  <c:v>14</c:v>
                </c:pt>
                <c:pt idx="399">
                  <c:v>70</c:v>
                </c:pt>
                <c:pt idx="400">
                  <c:v>47</c:v>
                </c:pt>
                <c:pt idx="401">
                  <c:v>0</c:v>
                </c:pt>
                <c:pt idx="402">
                  <c:v>25</c:v>
                </c:pt>
                <c:pt idx="403">
                  <c:v>24</c:v>
                </c:pt>
                <c:pt idx="404">
                  <c:v>31</c:v>
                </c:pt>
                <c:pt idx="405">
                  <c:v>0</c:v>
                </c:pt>
                <c:pt idx="406">
                  <c:v>43</c:v>
                </c:pt>
                <c:pt idx="407">
                  <c:v>54</c:v>
                </c:pt>
                <c:pt idx="408">
                  <c:v>71</c:v>
                </c:pt>
                <c:pt idx="409">
                  <c:v>88</c:v>
                </c:pt>
                <c:pt idx="410">
                  <c:v>2</c:v>
                </c:pt>
                <c:pt idx="411">
                  <c:v>108</c:v>
                </c:pt>
                <c:pt idx="412">
                  <c:v>107</c:v>
                </c:pt>
                <c:pt idx="413">
                  <c:v>20</c:v>
                </c:pt>
                <c:pt idx="414">
                  <c:v>27</c:v>
                </c:pt>
                <c:pt idx="415">
                  <c:v>112</c:v>
                </c:pt>
                <c:pt idx="416">
                  <c:v>87</c:v>
                </c:pt>
                <c:pt idx="417">
                  <c:v>105</c:v>
                </c:pt>
                <c:pt idx="418">
                  <c:v>25</c:v>
                </c:pt>
                <c:pt idx="419">
                  <c:v>95</c:v>
                </c:pt>
                <c:pt idx="420">
                  <c:v>117</c:v>
                </c:pt>
                <c:pt idx="421">
                  <c:v>20</c:v>
                </c:pt>
                <c:pt idx="422">
                  <c:v>71</c:v>
                </c:pt>
                <c:pt idx="423">
                  <c:v>32</c:v>
                </c:pt>
                <c:pt idx="424">
                  <c:v>6</c:v>
                </c:pt>
                <c:pt idx="425">
                  <c:v>19</c:v>
                </c:pt>
                <c:pt idx="426">
                  <c:v>22</c:v>
                </c:pt>
                <c:pt idx="427">
                  <c:v>9</c:v>
                </c:pt>
                <c:pt idx="428">
                  <c:v>80</c:v>
                </c:pt>
                <c:pt idx="429">
                  <c:v>5</c:v>
                </c:pt>
                <c:pt idx="430">
                  <c:v>2</c:v>
                </c:pt>
                <c:pt idx="431">
                  <c:v>7</c:v>
                </c:pt>
                <c:pt idx="432">
                  <c:v>110</c:v>
                </c:pt>
                <c:pt idx="433">
                  <c:v>64</c:v>
                </c:pt>
                <c:pt idx="434">
                  <c:v>83</c:v>
                </c:pt>
                <c:pt idx="435">
                  <c:v>36</c:v>
                </c:pt>
                <c:pt idx="436">
                  <c:v>0</c:v>
                </c:pt>
                <c:pt idx="437">
                  <c:v>118</c:v>
                </c:pt>
                <c:pt idx="438">
                  <c:v>7</c:v>
                </c:pt>
                <c:pt idx="439">
                  <c:v>72</c:v>
                </c:pt>
                <c:pt idx="440">
                  <c:v>3</c:v>
                </c:pt>
                <c:pt idx="441">
                  <c:v>14</c:v>
                </c:pt>
                <c:pt idx="442">
                  <c:v>34</c:v>
                </c:pt>
                <c:pt idx="443">
                  <c:v>79</c:v>
                </c:pt>
                <c:pt idx="444">
                  <c:v>104</c:v>
                </c:pt>
                <c:pt idx="445">
                  <c:v>7</c:v>
                </c:pt>
                <c:pt idx="446">
                  <c:v>42</c:v>
                </c:pt>
                <c:pt idx="447">
                  <c:v>118</c:v>
                </c:pt>
                <c:pt idx="448">
                  <c:v>111</c:v>
                </c:pt>
                <c:pt idx="449">
                  <c:v>23</c:v>
                </c:pt>
                <c:pt idx="450">
                  <c:v>9</c:v>
                </c:pt>
                <c:pt idx="451">
                  <c:v>38</c:v>
                </c:pt>
                <c:pt idx="452">
                  <c:v>69</c:v>
                </c:pt>
                <c:pt idx="453">
                  <c:v>18</c:v>
                </c:pt>
                <c:pt idx="454">
                  <c:v>74</c:v>
                </c:pt>
                <c:pt idx="455">
                  <c:v>70</c:v>
                </c:pt>
                <c:pt idx="456">
                  <c:v>43</c:v>
                </c:pt>
                <c:pt idx="457">
                  <c:v>38</c:v>
                </c:pt>
                <c:pt idx="458">
                  <c:v>59</c:v>
                </c:pt>
                <c:pt idx="459">
                  <c:v>25</c:v>
                </c:pt>
                <c:pt idx="460">
                  <c:v>117</c:v>
                </c:pt>
                <c:pt idx="461">
                  <c:v>119</c:v>
                </c:pt>
                <c:pt idx="462">
                  <c:v>92</c:v>
                </c:pt>
                <c:pt idx="463">
                  <c:v>100</c:v>
                </c:pt>
                <c:pt idx="464">
                  <c:v>7</c:v>
                </c:pt>
                <c:pt idx="465">
                  <c:v>46</c:v>
                </c:pt>
                <c:pt idx="466">
                  <c:v>76</c:v>
                </c:pt>
                <c:pt idx="467">
                  <c:v>18</c:v>
                </c:pt>
                <c:pt idx="468">
                  <c:v>48</c:v>
                </c:pt>
                <c:pt idx="469">
                  <c:v>22</c:v>
                </c:pt>
                <c:pt idx="470">
                  <c:v>19</c:v>
                </c:pt>
                <c:pt idx="471">
                  <c:v>109</c:v>
                </c:pt>
                <c:pt idx="472">
                  <c:v>89</c:v>
                </c:pt>
                <c:pt idx="473">
                  <c:v>109</c:v>
                </c:pt>
                <c:pt idx="474">
                  <c:v>71</c:v>
                </c:pt>
                <c:pt idx="475">
                  <c:v>43</c:v>
                </c:pt>
                <c:pt idx="476">
                  <c:v>116</c:v>
                </c:pt>
                <c:pt idx="477">
                  <c:v>67</c:v>
                </c:pt>
                <c:pt idx="478">
                  <c:v>35</c:v>
                </c:pt>
                <c:pt idx="479">
                  <c:v>87</c:v>
                </c:pt>
                <c:pt idx="480">
                  <c:v>101</c:v>
                </c:pt>
                <c:pt idx="481">
                  <c:v>17</c:v>
                </c:pt>
                <c:pt idx="482">
                  <c:v>49</c:v>
                </c:pt>
                <c:pt idx="483">
                  <c:v>88</c:v>
                </c:pt>
                <c:pt idx="484">
                  <c:v>45</c:v>
                </c:pt>
                <c:pt idx="485">
                  <c:v>30</c:v>
                </c:pt>
                <c:pt idx="486">
                  <c:v>13</c:v>
                </c:pt>
                <c:pt idx="487">
                  <c:v>47</c:v>
                </c:pt>
                <c:pt idx="488">
                  <c:v>10</c:v>
                </c:pt>
                <c:pt idx="489">
                  <c:v>24</c:v>
                </c:pt>
                <c:pt idx="490">
                  <c:v>48</c:v>
                </c:pt>
                <c:pt idx="491">
                  <c:v>30</c:v>
                </c:pt>
                <c:pt idx="492">
                  <c:v>97</c:v>
                </c:pt>
                <c:pt idx="493">
                  <c:v>59</c:v>
                </c:pt>
                <c:pt idx="494">
                  <c:v>36</c:v>
                </c:pt>
                <c:pt idx="495">
                  <c:v>102</c:v>
                </c:pt>
                <c:pt idx="496">
                  <c:v>92</c:v>
                </c:pt>
                <c:pt idx="497">
                  <c:v>44</c:v>
                </c:pt>
                <c:pt idx="498">
                  <c:v>48</c:v>
                </c:pt>
                <c:pt idx="499">
                  <c:v>34</c:v>
                </c:pt>
              </c:numCache>
            </c:numRef>
          </c:yVal>
          <c:smooth val="0"/>
          <c:extLst>
            <c:ext xmlns:c16="http://schemas.microsoft.com/office/drawing/2014/chart" uri="{C3380CC4-5D6E-409C-BE32-E72D297353CC}">
              <c16:uniqueId val="{00000000-CE13-4EBB-880A-F89C363E79D8}"/>
            </c:ext>
          </c:extLst>
        </c:ser>
        <c:ser>
          <c:idx val="4"/>
          <c:order val="4"/>
          <c:tx>
            <c:strRef>
              <c:f>User_data!$H$2</c:f>
              <c:strCache>
                <c:ptCount val="1"/>
                <c:pt idx="0">
                  <c:v>Engagement_Score</c:v>
                </c:pt>
              </c:strCache>
            </c:strRef>
          </c:tx>
          <c:spPr>
            <a:ln w="381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xVal>
            <c:multiLvlStrRef>
              <c:f>User_data!$A$3:$C$502</c:f>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f>User_data!$H$3:$H$502</c:f>
              <c:numCache>
                <c:formatCode>General</c:formatCode>
                <c:ptCount val="500"/>
                <c:pt idx="0">
                  <c:v>63.1</c:v>
                </c:pt>
                <c:pt idx="1">
                  <c:v>37.85</c:v>
                </c:pt>
                <c:pt idx="2">
                  <c:v>31.9</c:v>
                </c:pt>
                <c:pt idx="3">
                  <c:v>59.4</c:v>
                </c:pt>
                <c:pt idx="4">
                  <c:v>35.299999999999997</c:v>
                </c:pt>
                <c:pt idx="5">
                  <c:v>70.150000000000006</c:v>
                </c:pt>
                <c:pt idx="6">
                  <c:v>28.7</c:v>
                </c:pt>
                <c:pt idx="7">
                  <c:v>52.55</c:v>
                </c:pt>
                <c:pt idx="8">
                  <c:v>73.95</c:v>
                </c:pt>
                <c:pt idx="9">
                  <c:v>65.95</c:v>
                </c:pt>
                <c:pt idx="10">
                  <c:v>54.25</c:v>
                </c:pt>
                <c:pt idx="11">
                  <c:v>33.4</c:v>
                </c:pt>
                <c:pt idx="12">
                  <c:v>68.650000000000006</c:v>
                </c:pt>
                <c:pt idx="13">
                  <c:v>31.7</c:v>
                </c:pt>
                <c:pt idx="14">
                  <c:v>43.4</c:v>
                </c:pt>
                <c:pt idx="15">
                  <c:v>25.4</c:v>
                </c:pt>
                <c:pt idx="16">
                  <c:v>29.45</c:v>
                </c:pt>
                <c:pt idx="17">
                  <c:v>64</c:v>
                </c:pt>
                <c:pt idx="18">
                  <c:v>38.4</c:v>
                </c:pt>
                <c:pt idx="19">
                  <c:v>69.2</c:v>
                </c:pt>
                <c:pt idx="20">
                  <c:v>36.1</c:v>
                </c:pt>
                <c:pt idx="21">
                  <c:v>17.899999999999999</c:v>
                </c:pt>
                <c:pt idx="22">
                  <c:v>69.650000000000006</c:v>
                </c:pt>
                <c:pt idx="23">
                  <c:v>48.05</c:v>
                </c:pt>
                <c:pt idx="24">
                  <c:v>10.25</c:v>
                </c:pt>
                <c:pt idx="25">
                  <c:v>74.7</c:v>
                </c:pt>
                <c:pt idx="26">
                  <c:v>41.25</c:v>
                </c:pt>
                <c:pt idx="27">
                  <c:v>61.95</c:v>
                </c:pt>
                <c:pt idx="28">
                  <c:v>18.899999999999999</c:v>
                </c:pt>
                <c:pt idx="29">
                  <c:v>44.9</c:v>
                </c:pt>
                <c:pt idx="30">
                  <c:v>64.900000000000006</c:v>
                </c:pt>
                <c:pt idx="31">
                  <c:v>64.599999999999994</c:v>
                </c:pt>
                <c:pt idx="32">
                  <c:v>38.700000000000003</c:v>
                </c:pt>
                <c:pt idx="33">
                  <c:v>37.25</c:v>
                </c:pt>
                <c:pt idx="34">
                  <c:v>66.7</c:v>
                </c:pt>
                <c:pt idx="35">
                  <c:v>36.75</c:v>
                </c:pt>
                <c:pt idx="36">
                  <c:v>30.65</c:v>
                </c:pt>
                <c:pt idx="37">
                  <c:v>58.75</c:v>
                </c:pt>
                <c:pt idx="38">
                  <c:v>6.85</c:v>
                </c:pt>
                <c:pt idx="39">
                  <c:v>52.8</c:v>
                </c:pt>
                <c:pt idx="40">
                  <c:v>28.25</c:v>
                </c:pt>
                <c:pt idx="41">
                  <c:v>48.8</c:v>
                </c:pt>
                <c:pt idx="42">
                  <c:v>35.6</c:v>
                </c:pt>
                <c:pt idx="43">
                  <c:v>34.299999999999997</c:v>
                </c:pt>
                <c:pt idx="44">
                  <c:v>5.85</c:v>
                </c:pt>
                <c:pt idx="45">
                  <c:v>53.55</c:v>
                </c:pt>
                <c:pt idx="46">
                  <c:v>49.4</c:v>
                </c:pt>
                <c:pt idx="47">
                  <c:v>56.6</c:v>
                </c:pt>
                <c:pt idx="48">
                  <c:v>41.2</c:v>
                </c:pt>
                <c:pt idx="49">
                  <c:v>47.65</c:v>
                </c:pt>
                <c:pt idx="50">
                  <c:v>20.25</c:v>
                </c:pt>
                <c:pt idx="51">
                  <c:v>68.55</c:v>
                </c:pt>
                <c:pt idx="52">
                  <c:v>23.15</c:v>
                </c:pt>
                <c:pt idx="53">
                  <c:v>48.6</c:v>
                </c:pt>
                <c:pt idx="54">
                  <c:v>56.2</c:v>
                </c:pt>
                <c:pt idx="55">
                  <c:v>40</c:v>
                </c:pt>
                <c:pt idx="56">
                  <c:v>36.35</c:v>
                </c:pt>
                <c:pt idx="57">
                  <c:v>63.1</c:v>
                </c:pt>
                <c:pt idx="58">
                  <c:v>62.4</c:v>
                </c:pt>
                <c:pt idx="59">
                  <c:v>48.35</c:v>
                </c:pt>
                <c:pt idx="60">
                  <c:v>43.45</c:v>
                </c:pt>
                <c:pt idx="61">
                  <c:v>32.299999999999997</c:v>
                </c:pt>
                <c:pt idx="62">
                  <c:v>40.9</c:v>
                </c:pt>
                <c:pt idx="63">
                  <c:v>25.5</c:v>
                </c:pt>
                <c:pt idx="64">
                  <c:v>54.65</c:v>
                </c:pt>
                <c:pt idx="65">
                  <c:v>38.950000000000003</c:v>
                </c:pt>
                <c:pt idx="66">
                  <c:v>68</c:v>
                </c:pt>
                <c:pt idx="67">
                  <c:v>57.35</c:v>
                </c:pt>
                <c:pt idx="68">
                  <c:v>29.2</c:v>
                </c:pt>
                <c:pt idx="69">
                  <c:v>23.5</c:v>
                </c:pt>
                <c:pt idx="70">
                  <c:v>79.7</c:v>
                </c:pt>
                <c:pt idx="71">
                  <c:v>44.75</c:v>
                </c:pt>
                <c:pt idx="72">
                  <c:v>49.35</c:v>
                </c:pt>
                <c:pt idx="73">
                  <c:v>22.95</c:v>
                </c:pt>
                <c:pt idx="74">
                  <c:v>47.65</c:v>
                </c:pt>
                <c:pt idx="75">
                  <c:v>23.5</c:v>
                </c:pt>
                <c:pt idx="76">
                  <c:v>55.35</c:v>
                </c:pt>
                <c:pt idx="77">
                  <c:v>51.3</c:v>
                </c:pt>
                <c:pt idx="78">
                  <c:v>42.9</c:v>
                </c:pt>
                <c:pt idx="79">
                  <c:v>68.650000000000006</c:v>
                </c:pt>
                <c:pt idx="80">
                  <c:v>66.55</c:v>
                </c:pt>
                <c:pt idx="81">
                  <c:v>6.2</c:v>
                </c:pt>
                <c:pt idx="82">
                  <c:v>31.8</c:v>
                </c:pt>
                <c:pt idx="83">
                  <c:v>33.950000000000003</c:v>
                </c:pt>
                <c:pt idx="84">
                  <c:v>45.8</c:v>
                </c:pt>
                <c:pt idx="85">
                  <c:v>36.049999999999997</c:v>
                </c:pt>
                <c:pt idx="86">
                  <c:v>39.4</c:v>
                </c:pt>
                <c:pt idx="87">
                  <c:v>29.8</c:v>
                </c:pt>
                <c:pt idx="88">
                  <c:v>64.5</c:v>
                </c:pt>
                <c:pt idx="89">
                  <c:v>39.25</c:v>
                </c:pt>
                <c:pt idx="90">
                  <c:v>56.65</c:v>
                </c:pt>
                <c:pt idx="91">
                  <c:v>43.9</c:v>
                </c:pt>
                <c:pt idx="92">
                  <c:v>47.4</c:v>
                </c:pt>
                <c:pt idx="93">
                  <c:v>16.7</c:v>
                </c:pt>
                <c:pt idx="94">
                  <c:v>24.1</c:v>
                </c:pt>
                <c:pt idx="95">
                  <c:v>35.75</c:v>
                </c:pt>
                <c:pt idx="96">
                  <c:v>48.75</c:v>
                </c:pt>
                <c:pt idx="97">
                  <c:v>58.2</c:v>
                </c:pt>
                <c:pt idx="98">
                  <c:v>39.299999999999997</c:v>
                </c:pt>
                <c:pt idx="99">
                  <c:v>53.75</c:v>
                </c:pt>
                <c:pt idx="100">
                  <c:v>47.6</c:v>
                </c:pt>
                <c:pt idx="101">
                  <c:v>44.05</c:v>
                </c:pt>
                <c:pt idx="102">
                  <c:v>59</c:v>
                </c:pt>
                <c:pt idx="103">
                  <c:v>41.25</c:v>
                </c:pt>
                <c:pt idx="104">
                  <c:v>45.85</c:v>
                </c:pt>
                <c:pt idx="105">
                  <c:v>25.25</c:v>
                </c:pt>
                <c:pt idx="106">
                  <c:v>84.35</c:v>
                </c:pt>
                <c:pt idx="107">
                  <c:v>61.85</c:v>
                </c:pt>
                <c:pt idx="108">
                  <c:v>65</c:v>
                </c:pt>
                <c:pt idx="109">
                  <c:v>48.85</c:v>
                </c:pt>
                <c:pt idx="110">
                  <c:v>52.15</c:v>
                </c:pt>
                <c:pt idx="111">
                  <c:v>54.1</c:v>
                </c:pt>
                <c:pt idx="112">
                  <c:v>78.150000000000006</c:v>
                </c:pt>
                <c:pt idx="113">
                  <c:v>65.099999999999994</c:v>
                </c:pt>
                <c:pt idx="114">
                  <c:v>14.15</c:v>
                </c:pt>
                <c:pt idx="115">
                  <c:v>76.2</c:v>
                </c:pt>
                <c:pt idx="116">
                  <c:v>31.8</c:v>
                </c:pt>
                <c:pt idx="117">
                  <c:v>60.15</c:v>
                </c:pt>
                <c:pt idx="118">
                  <c:v>43.9</c:v>
                </c:pt>
                <c:pt idx="119">
                  <c:v>49.4</c:v>
                </c:pt>
                <c:pt idx="120">
                  <c:v>42.75</c:v>
                </c:pt>
                <c:pt idx="121">
                  <c:v>41.5</c:v>
                </c:pt>
                <c:pt idx="122">
                  <c:v>34.799999999999997</c:v>
                </c:pt>
                <c:pt idx="123">
                  <c:v>68.5</c:v>
                </c:pt>
                <c:pt idx="124">
                  <c:v>33.950000000000003</c:v>
                </c:pt>
                <c:pt idx="125">
                  <c:v>39.4</c:v>
                </c:pt>
                <c:pt idx="126">
                  <c:v>68.099999999999994</c:v>
                </c:pt>
                <c:pt idx="127">
                  <c:v>49.35</c:v>
                </c:pt>
                <c:pt idx="128">
                  <c:v>29.9</c:v>
                </c:pt>
                <c:pt idx="129">
                  <c:v>27.3</c:v>
                </c:pt>
                <c:pt idx="130">
                  <c:v>44.95</c:v>
                </c:pt>
                <c:pt idx="131">
                  <c:v>32.950000000000003</c:v>
                </c:pt>
                <c:pt idx="132">
                  <c:v>31.6</c:v>
                </c:pt>
                <c:pt idx="133">
                  <c:v>54.45</c:v>
                </c:pt>
                <c:pt idx="134">
                  <c:v>30.15</c:v>
                </c:pt>
                <c:pt idx="135">
                  <c:v>38.75</c:v>
                </c:pt>
                <c:pt idx="136">
                  <c:v>49</c:v>
                </c:pt>
                <c:pt idx="137">
                  <c:v>24.8</c:v>
                </c:pt>
                <c:pt idx="138">
                  <c:v>59.65</c:v>
                </c:pt>
                <c:pt idx="139">
                  <c:v>19.149999999999999</c:v>
                </c:pt>
                <c:pt idx="140">
                  <c:v>29.85</c:v>
                </c:pt>
                <c:pt idx="141">
                  <c:v>52.15</c:v>
                </c:pt>
                <c:pt idx="142">
                  <c:v>14.35</c:v>
                </c:pt>
                <c:pt idx="143">
                  <c:v>41.1</c:v>
                </c:pt>
                <c:pt idx="144">
                  <c:v>23.65</c:v>
                </c:pt>
                <c:pt idx="145">
                  <c:v>63.05</c:v>
                </c:pt>
                <c:pt idx="146">
                  <c:v>53.45</c:v>
                </c:pt>
                <c:pt idx="147">
                  <c:v>54.35</c:v>
                </c:pt>
                <c:pt idx="148">
                  <c:v>47.3</c:v>
                </c:pt>
                <c:pt idx="149">
                  <c:v>71.150000000000006</c:v>
                </c:pt>
                <c:pt idx="150">
                  <c:v>38.799999999999997</c:v>
                </c:pt>
                <c:pt idx="151">
                  <c:v>67.599999999999994</c:v>
                </c:pt>
                <c:pt idx="152">
                  <c:v>26.8</c:v>
                </c:pt>
                <c:pt idx="153">
                  <c:v>78.5</c:v>
                </c:pt>
                <c:pt idx="154">
                  <c:v>56.8</c:v>
                </c:pt>
                <c:pt idx="155">
                  <c:v>65.400000000000006</c:v>
                </c:pt>
                <c:pt idx="156">
                  <c:v>41.3</c:v>
                </c:pt>
                <c:pt idx="157">
                  <c:v>46.65</c:v>
                </c:pt>
                <c:pt idx="158">
                  <c:v>18</c:v>
                </c:pt>
                <c:pt idx="159">
                  <c:v>54.65</c:v>
                </c:pt>
                <c:pt idx="160">
                  <c:v>40.75</c:v>
                </c:pt>
                <c:pt idx="161">
                  <c:v>40.299999999999997</c:v>
                </c:pt>
                <c:pt idx="162">
                  <c:v>71.25</c:v>
                </c:pt>
                <c:pt idx="163">
                  <c:v>32.15</c:v>
                </c:pt>
                <c:pt idx="164">
                  <c:v>43.4</c:v>
                </c:pt>
                <c:pt idx="165">
                  <c:v>70.45</c:v>
                </c:pt>
                <c:pt idx="166">
                  <c:v>73.099999999999994</c:v>
                </c:pt>
                <c:pt idx="167">
                  <c:v>38</c:v>
                </c:pt>
                <c:pt idx="168">
                  <c:v>37.25</c:v>
                </c:pt>
                <c:pt idx="169">
                  <c:v>18.45</c:v>
                </c:pt>
                <c:pt idx="170">
                  <c:v>56.85</c:v>
                </c:pt>
                <c:pt idx="171">
                  <c:v>37.049999999999997</c:v>
                </c:pt>
                <c:pt idx="172">
                  <c:v>59</c:v>
                </c:pt>
                <c:pt idx="173">
                  <c:v>46.35</c:v>
                </c:pt>
                <c:pt idx="174">
                  <c:v>55.2</c:v>
                </c:pt>
                <c:pt idx="175">
                  <c:v>70.349999999999994</c:v>
                </c:pt>
                <c:pt idx="176">
                  <c:v>33.450000000000003</c:v>
                </c:pt>
                <c:pt idx="177">
                  <c:v>56.8</c:v>
                </c:pt>
                <c:pt idx="178">
                  <c:v>49.7</c:v>
                </c:pt>
                <c:pt idx="179">
                  <c:v>48.9</c:v>
                </c:pt>
                <c:pt idx="180">
                  <c:v>64.150000000000006</c:v>
                </c:pt>
                <c:pt idx="181">
                  <c:v>56.7</c:v>
                </c:pt>
                <c:pt idx="182">
                  <c:v>62.3</c:v>
                </c:pt>
                <c:pt idx="183">
                  <c:v>68.849999999999994</c:v>
                </c:pt>
                <c:pt idx="184">
                  <c:v>63.3</c:v>
                </c:pt>
                <c:pt idx="185">
                  <c:v>44.4</c:v>
                </c:pt>
                <c:pt idx="186">
                  <c:v>63.05</c:v>
                </c:pt>
                <c:pt idx="187">
                  <c:v>53.9</c:v>
                </c:pt>
                <c:pt idx="188">
                  <c:v>19.55</c:v>
                </c:pt>
                <c:pt idx="189">
                  <c:v>29.25</c:v>
                </c:pt>
                <c:pt idx="190">
                  <c:v>16.55</c:v>
                </c:pt>
                <c:pt idx="191">
                  <c:v>54.85</c:v>
                </c:pt>
                <c:pt idx="192">
                  <c:v>18.600000000000001</c:v>
                </c:pt>
                <c:pt idx="193">
                  <c:v>23.25</c:v>
                </c:pt>
                <c:pt idx="194">
                  <c:v>64.599999999999994</c:v>
                </c:pt>
                <c:pt idx="195">
                  <c:v>26.3</c:v>
                </c:pt>
                <c:pt idx="196">
                  <c:v>23.9</c:v>
                </c:pt>
                <c:pt idx="197">
                  <c:v>79.349999999999994</c:v>
                </c:pt>
                <c:pt idx="198">
                  <c:v>63</c:v>
                </c:pt>
                <c:pt idx="199">
                  <c:v>58.45</c:v>
                </c:pt>
                <c:pt idx="200">
                  <c:v>47.5</c:v>
                </c:pt>
                <c:pt idx="201">
                  <c:v>33.450000000000003</c:v>
                </c:pt>
                <c:pt idx="202">
                  <c:v>77.650000000000006</c:v>
                </c:pt>
                <c:pt idx="203">
                  <c:v>49.75</c:v>
                </c:pt>
                <c:pt idx="204">
                  <c:v>56.05</c:v>
                </c:pt>
                <c:pt idx="205">
                  <c:v>44.4</c:v>
                </c:pt>
                <c:pt idx="206">
                  <c:v>36.049999999999997</c:v>
                </c:pt>
                <c:pt idx="207">
                  <c:v>55.9</c:v>
                </c:pt>
                <c:pt idx="208">
                  <c:v>41.9</c:v>
                </c:pt>
                <c:pt idx="209">
                  <c:v>24.4</c:v>
                </c:pt>
                <c:pt idx="210">
                  <c:v>68.7</c:v>
                </c:pt>
                <c:pt idx="211">
                  <c:v>53.75</c:v>
                </c:pt>
                <c:pt idx="212">
                  <c:v>72.95</c:v>
                </c:pt>
                <c:pt idx="213">
                  <c:v>61.75</c:v>
                </c:pt>
                <c:pt idx="214">
                  <c:v>47.45</c:v>
                </c:pt>
                <c:pt idx="215">
                  <c:v>46.15</c:v>
                </c:pt>
                <c:pt idx="216">
                  <c:v>48</c:v>
                </c:pt>
                <c:pt idx="217">
                  <c:v>47.85</c:v>
                </c:pt>
                <c:pt idx="218">
                  <c:v>43.3</c:v>
                </c:pt>
                <c:pt idx="219">
                  <c:v>73.5</c:v>
                </c:pt>
                <c:pt idx="220">
                  <c:v>45.5</c:v>
                </c:pt>
                <c:pt idx="221">
                  <c:v>59.35</c:v>
                </c:pt>
                <c:pt idx="222">
                  <c:v>38.6</c:v>
                </c:pt>
                <c:pt idx="223">
                  <c:v>51.9</c:v>
                </c:pt>
                <c:pt idx="224">
                  <c:v>54.95</c:v>
                </c:pt>
                <c:pt idx="225">
                  <c:v>49.5</c:v>
                </c:pt>
                <c:pt idx="226">
                  <c:v>29.4</c:v>
                </c:pt>
                <c:pt idx="227">
                  <c:v>32.049999999999997</c:v>
                </c:pt>
                <c:pt idx="228">
                  <c:v>36.65</c:v>
                </c:pt>
                <c:pt idx="229">
                  <c:v>30.75</c:v>
                </c:pt>
                <c:pt idx="230">
                  <c:v>29.2</c:v>
                </c:pt>
                <c:pt idx="231">
                  <c:v>19.95</c:v>
                </c:pt>
                <c:pt idx="232">
                  <c:v>40.950000000000003</c:v>
                </c:pt>
                <c:pt idx="233">
                  <c:v>41.1</c:v>
                </c:pt>
                <c:pt idx="234">
                  <c:v>45.35</c:v>
                </c:pt>
                <c:pt idx="235">
                  <c:v>47.25</c:v>
                </c:pt>
                <c:pt idx="236">
                  <c:v>56.4</c:v>
                </c:pt>
                <c:pt idx="237">
                  <c:v>52.05</c:v>
                </c:pt>
                <c:pt idx="238">
                  <c:v>64.849999999999994</c:v>
                </c:pt>
                <c:pt idx="239">
                  <c:v>20.2</c:v>
                </c:pt>
                <c:pt idx="240">
                  <c:v>57.75</c:v>
                </c:pt>
                <c:pt idx="241">
                  <c:v>64.599999999999994</c:v>
                </c:pt>
                <c:pt idx="242">
                  <c:v>72.650000000000006</c:v>
                </c:pt>
                <c:pt idx="243">
                  <c:v>59.6</c:v>
                </c:pt>
                <c:pt idx="244">
                  <c:v>64.400000000000006</c:v>
                </c:pt>
                <c:pt idx="245">
                  <c:v>44.05</c:v>
                </c:pt>
                <c:pt idx="246">
                  <c:v>12.55</c:v>
                </c:pt>
                <c:pt idx="247">
                  <c:v>30.15</c:v>
                </c:pt>
                <c:pt idx="248">
                  <c:v>32.9</c:v>
                </c:pt>
                <c:pt idx="249">
                  <c:v>61.6</c:v>
                </c:pt>
                <c:pt idx="250">
                  <c:v>70.599999999999994</c:v>
                </c:pt>
                <c:pt idx="251">
                  <c:v>43.55</c:v>
                </c:pt>
                <c:pt idx="252">
                  <c:v>16</c:v>
                </c:pt>
                <c:pt idx="253">
                  <c:v>32.950000000000003</c:v>
                </c:pt>
                <c:pt idx="254">
                  <c:v>19.399999999999999</c:v>
                </c:pt>
                <c:pt idx="255">
                  <c:v>20.55</c:v>
                </c:pt>
                <c:pt idx="256">
                  <c:v>21.65</c:v>
                </c:pt>
                <c:pt idx="257">
                  <c:v>53.45</c:v>
                </c:pt>
                <c:pt idx="258">
                  <c:v>22.55</c:v>
                </c:pt>
                <c:pt idx="259">
                  <c:v>49.45</c:v>
                </c:pt>
                <c:pt idx="260">
                  <c:v>56.85</c:v>
                </c:pt>
                <c:pt idx="261">
                  <c:v>54.7</c:v>
                </c:pt>
                <c:pt idx="262">
                  <c:v>13.05</c:v>
                </c:pt>
                <c:pt idx="263">
                  <c:v>49.75</c:v>
                </c:pt>
                <c:pt idx="264">
                  <c:v>35.950000000000003</c:v>
                </c:pt>
                <c:pt idx="265">
                  <c:v>51.65</c:v>
                </c:pt>
                <c:pt idx="266">
                  <c:v>64.2</c:v>
                </c:pt>
                <c:pt idx="267">
                  <c:v>12.05</c:v>
                </c:pt>
                <c:pt idx="268">
                  <c:v>70.45</c:v>
                </c:pt>
                <c:pt idx="269">
                  <c:v>24.9</c:v>
                </c:pt>
                <c:pt idx="270">
                  <c:v>36.700000000000003</c:v>
                </c:pt>
                <c:pt idx="271">
                  <c:v>64.45</c:v>
                </c:pt>
                <c:pt idx="272">
                  <c:v>25.65</c:v>
                </c:pt>
                <c:pt idx="273">
                  <c:v>79.849999999999994</c:v>
                </c:pt>
                <c:pt idx="274">
                  <c:v>26.35</c:v>
                </c:pt>
                <c:pt idx="275">
                  <c:v>28.55</c:v>
                </c:pt>
                <c:pt idx="276">
                  <c:v>62.7</c:v>
                </c:pt>
                <c:pt idx="277">
                  <c:v>53.2</c:v>
                </c:pt>
                <c:pt idx="278">
                  <c:v>41.15</c:v>
                </c:pt>
                <c:pt idx="279">
                  <c:v>81.05</c:v>
                </c:pt>
                <c:pt idx="280">
                  <c:v>68.349999999999994</c:v>
                </c:pt>
                <c:pt idx="281">
                  <c:v>26.65</c:v>
                </c:pt>
                <c:pt idx="282">
                  <c:v>40.6</c:v>
                </c:pt>
                <c:pt idx="283">
                  <c:v>50.05</c:v>
                </c:pt>
                <c:pt idx="284">
                  <c:v>18.8</c:v>
                </c:pt>
                <c:pt idx="285">
                  <c:v>19</c:v>
                </c:pt>
                <c:pt idx="286">
                  <c:v>40.9</c:v>
                </c:pt>
                <c:pt idx="287">
                  <c:v>58.9</c:v>
                </c:pt>
                <c:pt idx="288">
                  <c:v>31.4</c:v>
                </c:pt>
                <c:pt idx="289">
                  <c:v>36.4</c:v>
                </c:pt>
                <c:pt idx="290">
                  <c:v>52.65</c:v>
                </c:pt>
                <c:pt idx="291">
                  <c:v>44.5</c:v>
                </c:pt>
                <c:pt idx="292">
                  <c:v>69.400000000000006</c:v>
                </c:pt>
                <c:pt idx="293">
                  <c:v>46.85</c:v>
                </c:pt>
                <c:pt idx="294">
                  <c:v>46.2</c:v>
                </c:pt>
                <c:pt idx="295">
                  <c:v>66.05</c:v>
                </c:pt>
                <c:pt idx="296">
                  <c:v>39.200000000000003</c:v>
                </c:pt>
                <c:pt idx="297">
                  <c:v>49.6</c:v>
                </c:pt>
                <c:pt idx="298">
                  <c:v>27.1</c:v>
                </c:pt>
                <c:pt idx="299">
                  <c:v>42.3</c:v>
                </c:pt>
                <c:pt idx="300">
                  <c:v>39.85</c:v>
                </c:pt>
                <c:pt idx="301">
                  <c:v>59.4</c:v>
                </c:pt>
                <c:pt idx="302">
                  <c:v>55.1</c:v>
                </c:pt>
                <c:pt idx="303">
                  <c:v>37.6</c:v>
                </c:pt>
                <c:pt idx="304">
                  <c:v>59.75</c:v>
                </c:pt>
                <c:pt idx="305">
                  <c:v>27.25</c:v>
                </c:pt>
                <c:pt idx="306">
                  <c:v>29</c:v>
                </c:pt>
                <c:pt idx="307">
                  <c:v>50.35</c:v>
                </c:pt>
                <c:pt idx="308">
                  <c:v>20.65</c:v>
                </c:pt>
                <c:pt idx="309">
                  <c:v>41.25</c:v>
                </c:pt>
                <c:pt idx="310">
                  <c:v>36</c:v>
                </c:pt>
                <c:pt idx="311">
                  <c:v>39.25</c:v>
                </c:pt>
                <c:pt idx="312">
                  <c:v>48.65</c:v>
                </c:pt>
                <c:pt idx="313">
                  <c:v>22.6</c:v>
                </c:pt>
                <c:pt idx="314">
                  <c:v>23.45</c:v>
                </c:pt>
                <c:pt idx="315">
                  <c:v>55.85</c:v>
                </c:pt>
                <c:pt idx="316">
                  <c:v>22.8</c:v>
                </c:pt>
                <c:pt idx="317">
                  <c:v>39</c:v>
                </c:pt>
                <c:pt idx="318">
                  <c:v>56.25</c:v>
                </c:pt>
                <c:pt idx="319">
                  <c:v>67.8</c:v>
                </c:pt>
                <c:pt idx="320">
                  <c:v>65.650000000000006</c:v>
                </c:pt>
                <c:pt idx="321">
                  <c:v>73.05</c:v>
                </c:pt>
                <c:pt idx="322">
                  <c:v>49.2</c:v>
                </c:pt>
                <c:pt idx="323">
                  <c:v>76.8</c:v>
                </c:pt>
                <c:pt idx="324">
                  <c:v>43.1</c:v>
                </c:pt>
                <c:pt idx="325">
                  <c:v>32.9</c:v>
                </c:pt>
                <c:pt idx="326">
                  <c:v>52.7</c:v>
                </c:pt>
                <c:pt idx="327">
                  <c:v>39.35</c:v>
                </c:pt>
                <c:pt idx="328">
                  <c:v>84.75</c:v>
                </c:pt>
                <c:pt idx="329">
                  <c:v>80.599999999999994</c:v>
                </c:pt>
                <c:pt idx="330">
                  <c:v>65.75</c:v>
                </c:pt>
                <c:pt idx="331">
                  <c:v>50.4</c:v>
                </c:pt>
                <c:pt idx="332">
                  <c:v>28.35</c:v>
                </c:pt>
                <c:pt idx="333">
                  <c:v>24.95</c:v>
                </c:pt>
                <c:pt idx="334">
                  <c:v>69.349999999999994</c:v>
                </c:pt>
                <c:pt idx="335">
                  <c:v>68.7</c:v>
                </c:pt>
                <c:pt idx="336">
                  <c:v>55.3</c:v>
                </c:pt>
                <c:pt idx="337">
                  <c:v>74.8</c:v>
                </c:pt>
                <c:pt idx="338">
                  <c:v>80.349999999999994</c:v>
                </c:pt>
                <c:pt idx="339">
                  <c:v>72.099999999999994</c:v>
                </c:pt>
                <c:pt idx="340">
                  <c:v>35</c:v>
                </c:pt>
                <c:pt idx="341">
                  <c:v>60.75</c:v>
                </c:pt>
                <c:pt idx="342">
                  <c:v>71.599999999999994</c:v>
                </c:pt>
                <c:pt idx="343">
                  <c:v>61</c:v>
                </c:pt>
                <c:pt idx="344">
                  <c:v>35.700000000000003</c:v>
                </c:pt>
                <c:pt idx="345">
                  <c:v>55.6</c:v>
                </c:pt>
                <c:pt idx="346">
                  <c:v>73.2</c:v>
                </c:pt>
                <c:pt idx="347">
                  <c:v>35.9</c:v>
                </c:pt>
                <c:pt idx="348">
                  <c:v>64.7</c:v>
                </c:pt>
                <c:pt idx="349">
                  <c:v>33.35</c:v>
                </c:pt>
                <c:pt idx="350">
                  <c:v>21.05</c:v>
                </c:pt>
                <c:pt idx="351">
                  <c:v>51.7</c:v>
                </c:pt>
                <c:pt idx="352">
                  <c:v>59.75</c:v>
                </c:pt>
                <c:pt idx="353">
                  <c:v>33.950000000000003</c:v>
                </c:pt>
                <c:pt idx="354">
                  <c:v>45.8</c:v>
                </c:pt>
                <c:pt idx="355">
                  <c:v>18.8</c:v>
                </c:pt>
                <c:pt idx="356">
                  <c:v>20.05</c:v>
                </c:pt>
                <c:pt idx="357">
                  <c:v>31.75</c:v>
                </c:pt>
                <c:pt idx="358">
                  <c:v>41.85</c:v>
                </c:pt>
                <c:pt idx="359">
                  <c:v>36.1</c:v>
                </c:pt>
                <c:pt idx="360">
                  <c:v>64.2</c:v>
                </c:pt>
                <c:pt idx="361">
                  <c:v>63</c:v>
                </c:pt>
                <c:pt idx="362">
                  <c:v>54.45</c:v>
                </c:pt>
                <c:pt idx="363">
                  <c:v>84.55</c:v>
                </c:pt>
                <c:pt idx="364">
                  <c:v>58.05</c:v>
                </c:pt>
                <c:pt idx="365">
                  <c:v>49.45</c:v>
                </c:pt>
                <c:pt idx="366">
                  <c:v>51.7</c:v>
                </c:pt>
                <c:pt idx="367">
                  <c:v>42.05</c:v>
                </c:pt>
                <c:pt idx="368">
                  <c:v>61.95</c:v>
                </c:pt>
                <c:pt idx="369">
                  <c:v>72.55</c:v>
                </c:pt>
                <c:pt idx="370">
                  <c:v>69.25</c:v>
                </c:pt>
                <c:pt idx="371">
                  <c:v>33.65</c:v>
                </c:pt>
                <c:pt idx="372">
                  <c:v>63.05</c:v>
                </c:pt>
                <c:pt idx="373">
                  <c:v>41</c:v>
                </c:pt>
                <c:pt idx="374">
                  <c:v>51.8</c:v>
                </c:pt>
                <c:pt idx="375">
                  <c:v>10.050000000000001</c:v>
                </c:pt>
                <c:pt idx="376">
                  <c:v>77.8</c:v>
                </c:pt>
                <c:pt idx="377">
                  <c:v>16.850000000000001</c:v>
                </c:pt>
                <c:pt idx="378">
                  <c:v>60.85</c:v>
                </c:pt>
                <c:pt idx="379">
                  <c:v>17.350000000000001</c:v>
                </c:pt>
                <c:pt idx="380">
                  <c:v>61.15</c:v>
                </c:pt>
                <c:pt idx="381">
                  <c:v>12.45</c:v>
                </c:pt>
                <c:pt idx="382">
                  <c:v>32.15</c:v>
                </c:pt>
                <c:pt idx="383">
                  <c:v>35.950000000000003</c:v>
                </c:pt>
                <c:pt idx="384">
                  <c:v>76.849999999999994</c:v>
                </c:pt>
                <c:pt idx="385">
                  <c:v>79.400000000000006</c:v>
                </c:pt>
                <c:pt idx="386">
                  <c:v>45.5</c:v>
                </c:pt>
                <c:pt idx="387">
                  <c:v>46.5</c:v>
                </c:pt>
                <c:pt idx="388">
                  <c:v>45.45</c:v>
                </c:pt>
                <c:pt idx="389">
                  <c:v>45.6</c:v>
                </c:pt>
                <c:pt idx="390">
                  <c:v>56.2</c:v>
                </c:pt>
                <c:pt idx="391">
                  <c:v>22</c:v>
                </c:pt>
                <c:pt idx="392">
                  <c:v>50.5</c:v>
                </c:pt>
                <c:pt idx="393">
                  <c:v>62.75</c:v>
                </c:pt>
                <c:pt idx="394">
                  <c:v>37.85</c:v>
                </c:pt>
                <c:pt idx="395">
                  <c:v>32.450000000000003</c:v>
                </c:pt>
                <c:pt idx="396">
                  <c:v>57.3</c:v>
                </c:pt>
                <c:pt idx="397">
                  <c:v>38.950000000000003</c:v>
                </c:pt>
                <c:pt idx="398">
                  <c:v>58.7</c:v>
                </c:pt>
                <c:pt idx="399">
                  <c:v>52.5</c:v>
                </c:pt>
                <c:pt idx="400">
                  <c:v>21.35</c:v>
                </c:pt>
                <c:pt idx="401">
                  <c:v>19</c:v>
                </c:pt>
                <c:pt idx="402">
                  <c:v>37.25</c:v>
                </c:pt>
                <c:pt idx="403">
                  <c:v>62.2</c:v>
                </c:pt>
                <c:pt idx="404">
                  <c:v>43.55</c:v>
                </c:pt>
                <c:pt idx="405">
                  <c:v>40</c:v>
                </c:pt>
                <c:pt idx="406">
                  <c:v>9.15</c:v>
                </c:pt>
                <c:pt idx="407">
                  <c:v>33.700000000000003</c:v>
                </c:pt>
                <c:pt idx="408">
                  <c:v>36.549999999999997</c:v>
                </c:pt>
                <c:pt idx="409">
                  <c:v>21.4</c:v>
                </c:pt>
                <c:pt idx="410">
                  <c:v>29.1</c:v>
                </c:pt>
                <c:pt idx="411">
                  <c:v>27.4</c:v>
                </c:pt>
                <c:pt idx="412">
                  <c:v>71.349999999999994</c:v>
                </c:pt>
                <c:pt idx="413">
                  <c:v>55</c:v>
                </c:pt>
                <c:pt idx="414">
                  <c:v>34.35</c:v>
                </c:pt>
                <c:pt idx="415">
                  <c:v>33.6</c:v>
                </c:pt>
                <c:pt idx="416">
                  <c:v>34.35</c:v>
                </c:pt>
                <c:pt idx="417">
                  <c:v>59.25</c:v>
                </c:pt>
                <c:pt idx="418">
                  <c:v>53.25</c:v>
                </c:pt>
                <c:pt idx="419">
                  <c:v>35.75</c:v>
                </c:pt>
                <c:pt idx="420">
                  <c:v>83.85</c:v>
                </c:pt>
                <c:pt idx="421">
                  <c:v>32</c:v>
                </c:pt>
                <c:pt idx="422">
                  <c:v>39.549999999999997</c:v>
                </c:pt>
                <c:pt idx="423">
                  <c:v>50.6</c:v>
                </c:pt>
                <c:pt idx="424">
                  <c:v>51.3</c:v>
                </c:pt>
                <c:pt idx="425">
                  <c:v>26.95</c:v>
                </c:pt>
                <c:pt idx="426">
                  <c:v>46.1</c:v>
                </c:pt>
                <c:pt idx="427">
                  <c:v>63.45</c:v>
                </c:pt>
                <c:pt idx="428">
                  <c:v>49</c:v>
                </c:pt>
                <c:pt idx="429">
                  <c:v>52.25</c:v>
                </c:pt>
                <c:pt idx="430">
                  <c:v>29.1</c:v>
                </c:pt>
                <c:pt idx="431">
                  <c:v>30.35</c:v>
                </c:pt>
                <c:pt idx="432">
                  <c:v>73.5</c:v>
                </c:pt>
                <c:pt idx="433">
                  <c:v>60.2</c:v>
                </c:pt>
                <c:pt idx="434">
                  <c:v>30.15</c:v>
                </c:pt>
                <c:pt idx="435">
                  <c:v>55.8</c:v>
                </c:pt>
                <c:pt idx="436">
                  <c:v>54</c:v>
                </c:pt>
                <c:pt idx="437">
                  <c:v>72.900000000000006</c:v>
                </c:pt>
                <c:pt idx="438">
                  <c:v>26.35</c:v>
                </c:pt>
                <c:pt idx="439">
                  <c:v>12.6</c:v>
                </c:pt>
                <c:pt idx="440">
                  <c:v>30.15</c:v>
                </c:pt>
                <c:pt idx="441">
                  <c:v>57.7</c:v>
                </c:pt>
                <c:pt idx="442">
                  <c:v>55.7</c:v>
                </c:pt>
                <c:pt idx="443">
                  <c:v>54.95</c:v>
                </c:pt>
                <c:pt idx="444">
                  <c:v>26.2</c:v>
                </c:pt>
                <c:pt idx="445">
                  <c:v>49.35</c:v>
                </c:pt>
                <c:pt idx="446">
                  <c:v>71.099999999999994</c:v>
                </c:pt>
                <c:pt idx="447">
                  <c:v>42.9</c:v>
                </c:pt>
                <c:pt idx="448">
                  <c:v>62.55</c:v>
                </c:pt>
                <c:pt idx="449">
                  <c:v>35.15</c:v>
                </c:pt>
                <c:pt idx="450">
                  <c:v>33.450000000000003</c:v>
                </c:pt>
                <c:pt idx="451">
                  <c:v>47.9</c:v>
                </c:pt>
                <c:pt idx="452">
                  <c:v>52.45</c:v>
                </c:pt>
                <c:pt idx="453">
                  <c:v>33.9</c:v>
                </c:pt>
                <c:pt idx="454">
                  <c:v>84.7</c:v>
                </c:pt>
                <c:pt idx="455">
                  <c:v>30.5</c:v>
                </c:pt>
                <c:pt idx="456">
                  <c:v>33.15</c:v>
                </c:pt>
                <c:pt idx="457">
                  <c:v>17.899999999999999</c:v>
                </c:pt>
                <c:pt idx="458">
                  <c:v>42.95</c:v>
                </c:pt>
                <c:pt idx="459">
                  <c:v>21.25</c:v>
                </c:pt>
                <c:pt idx="460">
                  <c:v>52.85</c:v>
                </c:pt>
                <c:pt idx="461">
                  <c:v>34.950000000000003</c:v>
                </c:pt>
                <c:pt idx="462">
                  <c:v>31.6</c:v>
                </c:pt>
                <c:pt idx="463">
                  <c:v>62</c:v>
                </c:pt>
                <c:pt idx="464">
                  <c:v>41.35</c:v>
                </c:pt>
                <c:pt idx="465">
                  <c:v>37.299999999999997</c:v>
                </c:pt>
                <c:pt idx="466">
                  <c:v>64.8</c:v>
                </c:pt>
                <c:pt idx="467">
                  <c:v>30.9</c:v>
                </c:pt>
                <c:pt idx="468">
                  <c:v>66.400000000000006</c:v>
                </c:pt>
                <c:pt idx="469">
                  <c:v>32.1</c:v>
                </c:pt>
                <c:pt idx="470">
                  <c:v>54.95</c:v>
                </c:pt>
                <c:pt idx="471">
                  <c:v>30.45</c:v>
                </c:pt>
                <c:pt idx="472">
                  <c:v>37.450000000000003</c:v>
                </c:pt>
                <c:pt idx="473">
                  <c:v>50.45</c:v>
                </c:pt>
                <c:pt idx="474">
                  <c:v>63.55</c:v>
                </c:pt>
                <c:pt idx="475">
                  <c:v>54.15</c:v>
                </c:pt>
                <c:pt idx="476">
                  <c:v>72.8</c:v>
                </c:pt>
                <c:pt idx="477">
                  <c:v>49.35</c:v>
                </c:pt>
                <c:pt idx="478">
                  <c:v>50.75</c:v>
                </c:pt>
                <c:pt idx="479">
                  <c:v>33.35</c:v>
                </c:pt>
                <c:pt idx="480">
                  <c:v>35.049999999999997</c:v>
                </c:pt>
                <c:pt idx="481">
                  <c:v>67.849999999999994</c:v>
                </c:pt>
                <c:pt idx="482">
                  <c:v>56.45</c:v>
                </c:pt>
                <c:pt idx="483">
                  <c:v>40.4</c:v>
                </c:pt>
                <c:pt idx="484">
                  <c:v>40.25</c:v>
                </c:pt>
                <c:pt idx="485">
                  <c:v>26.5</c:v>
                </c:pt>
                <c:pt idx="486">
                  <c:v>43.65</c:v>
                </c:pt>
                <c:pt idx="487">
                  <c:v>38.35</c:v>
                </c:pt>
                <c:pt idx="488">
                  <c:v>32.5</c:v>
                </c:pt>
                <c:pt idx="489">
                  <c:v>34.200000000000003</c:v>
                </c:pt>
                <c:pt idx="490">
                  <c:v>34.4</c:v>
                </c:pt>
                <c:pt idx="491">
                  <c:v>53.5</c:v>
                </c:pt>
                <c:pt idx="492">
                  <c:v>30.85</c:v>
                </c:pt>
                <c:pt idx="493">
                  <c:v>40.950000000000003</c:v>
                </c:pt>
                <c:pt idx="494">
                  <c:v>59.8</c:v>
                </c:pt>
                <c:pt idx="495">
                  <c:v>58.1</c:v>
                </c:pt>
                <c:pt idx="496">
                  <c:v>42.6</c:v>
                </c:pt>
                <c:pt idx="497">
                  <c:v>44.2</c:v>
                </c:pt>
                <c:pt idx="498">
                  <c:v>69.400000000000006</c:v>
                </c:pt>
                <c:pt idx="499">
                  <c:v>40.700000000000003</c:v>
                </c:pt>
              </c:numCache>
            </c:numRef>
          </c:yVal>
          <c:smooth val="0"/>
          <c:extLst>
            <c:ext xmlns:c16="http://schemas.microsoft.com/office/drawing/2014/chart" uri="{C3380CC4-5D6E-409C-BE32-E72D297353CC}">
              <c16:uniqueId val="{00000002-CE13-4EBB-880A-F89C363E79D8}"/>
            </c:ext>
          </c:extLst>
        </c:ser>
        <c:dLbls>
          <c:showLegendKey val="0"/>
          <c:showVal val="0"/>
          <c:showCatName val="0"/>
          <c:showSerName val="0"/>
          <c:showPercent val="0"/>
          <c:showBubbleSize val="0"/>
        </c:dLbls>
        <c:axId val="194929232"/>
        <c:axId val="194929712"/>
        <c:extLst>
          <c:ext xmlns:c15="http://schemas.microsoft.com/office/drawing/2012/chart" uri="{02D57815-91ED-43cb-92C2-25804820EDAC}">
            <c15:filteredScatterSeries>
              <c15:ser>
                <c:idx val="0"/>
                <c:order val="0"/>
                <c:tx>
                  <c:strRef>
                    <c:extLst>
                      <c:ext uri="{02D57815-91ED-43cb-92C2-25804820EDAC}">
                        <c15:formulaRef>
                          <c15:sqref>User_data!$D$2</c15:sqref>
                        </c15:formulaRef>
                      </c:ext>
                    </c:extLst>
                    <c:strCache>
                      <c:ptCount val="1"/>
                      <c:pt idx="0">
                        <c:v>Likes</c:v>
                      </c:pt>
                    </c:strCache>
                  </c:strRef>
                </c:tx>
                <c:spPr>
                  <a:ln w="38100" cap="rnd">
                    <a:noFill/>
                    <a:round/>
                  </a:ln>
                  <a:effectLst/>
                </c:spPr>
                <c:marker>
                  <c:symbol val="circle"/>
                  <c:size val="5"/>
                  <c:spPr>
                    <a:solidFill>
                      <a:schemeClr val="accent1"/>
                    </a:solidFill>
                    <a:ln w="9525">
                      <a:solidFill>
                        <a:schemeClr val="accent1"/>
                      </a:solidFill>
                    </a:ln>
                    <a:effectLst/>
                  </c:spPr>
                </c:marker>
                <c:xVal>
                  <c:multiLvlStrRef>
                    <c:extLst>
                      <c:ext uri="{02D57815-91ED-43cb-92C2-25804820EDAC}">
                        <c15:formulaRef>
                          <c15:sqref>User_data!$A$3:$C$502</c15:sqref>
                        </c15:formulaRef>
                      </c:ext>
                    </c:extLst>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extLst>
                      <c:ext uri="{02D57815-91ED-43cb-92C2-25804820EDAC}">
                        <c15:formulaRef>
                          <c15:sqref>User_data!$D$3:$D$502</c15:sqref>
                        </c15:formulaRef>
                      </c:ext>
                    </c:extLst>
                    <c:numCache>
                      <c:formatCode>General</c:formatCode>
                      <c:ptCount val="500"/>
                      <c:pt idx="0">
                        <c:v>34</c:v>
                      </c:pt>
                      <c:pt idx="1">
                        <c:v>7</c:v>
                      </c:pt>
                      <c:pt idx="2">
                        <c:v>24</c:v>
                      </c:pt>
                      <c:pt idx="3">
                        <c:v>39</c:v>
                      </c:pt>
                      <c:pt idx="4">
                        <c:v>3</c:v>
                      </c:pt>
                      <c:pt idx="5">
                        <c:v>35</c:v>
                      </c:pt>
                      <c:pt idx="6">
                        <c:v>10</c:v>
                      </c:pt>
                      <c:pt idx="7">
                        <c:v>23</c:v>
                      </c:pt>
                      <c:pt idx="8">
                        <c:v>43</c:v>
                      </c:pt>
                      <c:pt idx="9">
                        <c:v>39</c:v>
                      </c:pt>
                      <c:pt idx="10">
                        <c:v>33</c:v>
                      </c:pt>
                      <c:pt idx="11">
                        <c:v>20</c:v>
                      </c:pt>
                      <c:pt idx="12">
                        <c:v>36</c:v>
                      </c:pt>
                      <c:pt idx="13">
                        <c:v>1</c:v>
                      </c:pt>
                      <c:pt idx="14">
                        <c:v>11</c:v>
                      </c:pt>
                      <c:pt idx="15">
                        <c:v>9</c:v>
                      </c:pt>
                      <c:pt idx="16">
                        <c:v>9</c:v>
                      </c:pt>
                      <c:pt idx="17">
                        <c:v>45</c:v>
                      </c:pt>
                      <c:pt idx="18">
                        <c:v>24</c:v>
                      </c:pt>
                      <c:pt idx="19">
                        <c:v>32</c:v>
                      </c:pt>
                      <c:pt idx="20">
                        <c:v>3</c:v>
                      </c:pt>
                      <c:pt idx="21">
                        <c:v>5</c:v>
                      </c:pt>
                      <c:pt idx="22">
                        <c:v>44</c:v>
                      </c:pt>
                      <c:pt idx="23">
                        <c:v>35</c:v>
                      </c:pt>
                      <c:pt idx="24">
                        <c:v>1</c:v>
                      </c:pt>
                      <c:pt idx="25">
                        <c:v>50</c:v>
                      </c:pt>
                      <c:pt idx="26">
                        <c:v>30</c:v>
                      </c:pt>
                      <c:pt idx="27">
                        <c:v>25</c:v>
                      </c:pt>
                      <c:pt idx="28">
                        <c:v>13</c:v>
                      </c:pt>
                      <c:pt idx="29">
                        <c:v>26</c:v>
                      </c:pt>
                      <c:pt idx="30">
                        <c:v>42</c:v>
                      </c:pt>
                      <c:pt idx="31">
                        <c:v>35</c:v>
                      </c:pt>
                      <c:pt idx="32">
                        <c:v>14</c:v>
                      </c:pt>
                      <c:pt idx="33">
                        <c:v>16</c:v>
                      </c:pt>
                      <c:pt idx="34">
                        <c:v>48</c:v>
                      </c:pt>
                      <c:pt idx="35">
                        <c:v>20</c:v>
                      </c:pt>
                      <c:pt idx="36">
                        <c:v>6</c:v>
                      </c:pt>
                      <c:pt idx="37">
                        <c:v>50</c:v>
                      </c:pt>
                      <c:pt idx="38">
                        <c:v>3</c:v>
                      </c:pt>
                      <c:pt idx="39">
                        <c:v>49</c:v>
                      </c:pt>
                      <c:pt idx="40">
                        <c:v>9</c:v>
                      </c:pt>
                      <c:pt idx="41">
                        <c:v>29</c:v>
                      </c:pt>
                      <c:pt idx="42">
                        <c:v>27</c:v>
                      </c:pt>
                      <c:pt idx="43">
                        <c:v>17</c:v>
                      </c:pt>
                      <c:pt idx="44">
                        <c:v>0</c:v>
                      </c:pt>
                      <c:pt idx="45">
                        <c:v>36</c:v>
                      </c:pt>
                      <c:pt idx="46">
                        <c:v>18</c:v>
                      </c:pt>
                      <c:pt idx="47">
                        <c:v>39</c:v>
                      </c:pt>
                      <c:pt idx="48">
                        <c:v>13</c:v>
                      </c:pt>
                      <c:pt idx="49">
                        <c:v>28</c:v>
                      </c:pt>
                      <c:pt idx="50">
                        <c:v>6</c:v>
                      </c:pt>
                      <c:pt idx="51">
                        <c:v>33</c:v>
                      </c:pt>
                      <c:pt idx="52">
                        <c:v>1</c:v>
                      </c:pt>
                      <c:pt idx="53">
                        <c:v>35</c:v>
                      </c:pt>
                      <c:pt idx="54">
                        <c:v>33</c:v>
                      </c:pt>
                      <c:pt idx="55">
                        <c:v>4</c:v>
                      </c:pt>
                      <c:pt idx="56">
                        <c:v>12</c:v>
                      </c:pt>
                      <c:pt idx="57">
                        <c:v>50</c:v>
                      </c:pt>
                      <c:pt idx="58">
                        <c:v>41</c:v>
                      </c:pt>
                      <c:pt idx="59">
                        <c:v>40</c:v>
                      </c:pt>
                      <c:pt idx="60">
                        <c:v>20</c:v>
                      </c:pt>
                      <c:pt idx="61">
                        <c:v>32</c:v>
                      </c:pt>
                      <c:pt idx="62">
                        <c:v>8</c:v>
                      </c:pt>
                      <c:pt idx="63">
                        <c:v>10</c:v>
                      </c:pt>
                      <c:pt idx="64">
                        <c:v>44</c:v>
                      </c:pt>
                      <c:pt idx="65">
                        <c:v>13</c:v>
                      </c:pt>
                      <c:pt idx="66">
                        <c:v>39</c:v>
                      </c:pt>
                      <c:pt idx="67">
                        <c:v>44</c:v>
                      </c:pt>
                      <c:pt idx="68">
                        <c:v>1</c:v>
                      </c:pt>
                      <c:pt idx="69">
                        <c:v>8</c:v>
                      </c:pt>
                      <c:pt idx="70">
                        <c:v>43</c:v>
                      </c:pt>
                      <c:pt idx="71">
                        <c:v>27</c:v>
                      </c:pt>
                      <c:pt idx="72">
                        <c:v>33</c:v>
                      </c:pt>
                      <c:pt idx="73">
                        <c:v>5</c:v>
                      </c:pt>
                      <c:pt idx="74">
                        <c:v>36</c:v>
                      </c:pt>
                      <c:pt idx="75">
                        <c:v>10</c:v>
                      </c:pt>
                      <c:pt idx="76">
                        <c:v>40</c:v>
                      </c:pt>
                      <c:pt idx="77">
                        <c:v>34</c:v>
                      </c:pt>
                      <c:pt idx="78">
                        <c:v>24</c:v>
                      </c:pt>
                      <c:pt idx="79">
                        <c:v>50</c:v>
                      </c:pt>
                      <c:pt idx="80">
                        <c:v>39</c:v>
                      </c:pt>
                      <c:pt idx="81">
                        <c:v>1</c:v>
                      </c:pt>
                      <c:pt idx="82">
                        <c:v>9</c:v>
                      </c:pt>
                      <c:pt idx="83">
                        <c:v>23</c:v>
                      </c:pt>
                      <c:pt idx="84">
                        <c:v>25</c:v>
                      </c:pt>
                      <c:pt idx="85">
                        <c:v>4</c:v>
                      </c:pt>
                      <c:pt idx="86">
                        <c:v>19</c:v>
                      </c:pt>
                      <c:pt idx="87">
                        <c:v>21</c:v>
                      </c:pt>
                      <c:pt idx="88">
                        <c:v>41</c:v>
                      </c:pt>
                      <c:pt idx="89">
                        <c:v>5</c:v>
                      </c:pt>
                      <c:pt idx="90">
                        <c:v>35</c:v>
                      </c:pt>
                      <c:pt idx="91">
                        <c:v>36</c:v>
                      </c:pt>
                      <c:pt idx="92">
                        <c:v>25</c:v>
                      </c:pt>
                      <c:pt idx="93">
                        <c:v>10</c:v>
                      </c:pt>
                      <c:pt idx="94">
                        <c:v>5</c:v>
                      </c:pt>
                      <c:pt idx="95">
                        <c:v>19</c:v>
                      </c:pt>
                      <c:pt idx="96">
                        <c:v>29</c:v>
                      </c:pt>
                      <c:pt idx="97">
                        <c:v>30</c:v>
                      </c:pt>
                      <c:pt idx="98">
                        <c:v>13</c:v>
                      </c:pt>
                      <c:pt idx="99">
                        <c:v>28</c:v>
                      </c:pt>
                      <c:pt idx="100">
                        <c:v>30</c:v>
                      </c:pt>
                      <c:pt idx="101">
                        <c:v>10</c:v>
                      </c:pt>
                      <c:pt idx="102">
                        <c:v>37</c:v>
                      </c:pt>
                      <c:pt idx="103">
                        <c:v>21</c:v>
                      </c:pt>
                      <c:pt idx="104">
                        <c:v>10</c:v>
                      </c:pt>
                      <c:pt idx="105">
                        <c:v>17</c:v>
                      </c:pt>
                      <c:pt idx="106">
                        <c:v>46</c:v>
                      </c:pt>
                      <c:pt idx="107">
                        <c:v>48</c:v>
                      </c:pt>
                      <c:pt idx="108">
                        <c:v>50</c:v>
                      </c:pt>
                      <c:pt idx="109">
                        <c:v>45</c:v>
                      </c:pt>
                      <c:pt idx="110">
                        <c:v>26</c:v>
                      </c:pt>
                      <c:pt idx="111">
                        <c:v>35</c:v>
                      </c:pt>
                      <c:pt idx="112">
                        <c:v>46</c:v>
                      </c:pt>
                      <c:pt idx="113">
                        <c:v>41</c:v>
                      </c:pt>
                      <c:pt idx="114">
                        <c:v>3</c:v>
                      </c:pt>
                      <c:pt idx="115">
                        <c:v>44</c:v>
                      </c:pt>
                      <c:pt idx="116">
                        <c:v>8</c:v>
                      </c:pt>
                      <c:pt idx="117">
                        <c:v>33</c:v>
                      </c:pt>
                      <c:pt idx="118">
                        <c:v>19</c:v>
                      </c:pt>
                      <c:pt idx="119">
                        <c:v>12</c:v>
                      </c:pt>
                      <c:pt idx="120">
                        <c:v>36</c:v>
                      </c:pt>
                      <c:pt idx="121">
                        <c:v>14</c:v>
                      </c:pt>
                      <c:pt idx="122">
                        <c:v>1</c:v>
                      </c:pt>
                      <c:pt idx="123">
                        <c:v>38</c:v>
                      </c:pt>
                      <c:pt idx="124">
                        <c:v>13</c:v>
                      </c:pt>
                      <c:pt idx="125">
                        <c:v>29</c:v>
                      </c:pt>
                      <c:pt idx="126">
                        <c:v>39</c:v>
                      </c:pt>
                      <c:pt idx="127">
                        <c:v>20</c:v>
                      </c:pt>
                      <c:pt idx="128">
                        <c:v>14</c:v>
                      </c:pt>
                      <c:pt idx="129">
                        <c:v>8</c:v>
                      </c:pt>
                      <c:pt idx="130">
                        <c:v>11</c:v>
                      </c:pt>
                      <c:pt idx="131">
                        <c:v>2</c:v>
                      </c:pt>
                      <c:pt idx="132">
                        <c:v>6</c:v>
                      </c:pt>
                      <c:pt idx="133">
                        <c:v>32</c:v>
                      </c:pt>
                      <c:pt idx="134">
                        <c:v>10</c:v>
                      </c:pt>
                      <c:pt idx="135">
                        <c:v>31</c:v>
                      </c:pt>
                      <c:pt idx="136">
                        <c:v>21</c:v>
                      </c:pt>
                      <c:pt idx="137">
                        <c:v>1</c:v>
                      </c:pt>
                      <c:pt idx="138">
                        <c:v>29</c:v>
                      </c:pt>
                      <c:pt idx="139">
                        <c:v>0</c:v>
                      </c:pt>
                      <c:pt idx="140">
                        <c:v>25</c:v>
                      </c:pt>
                      <c:pt idx="141">
                        <c:v>50</c:v>
                      </c:pt>
                      <c:pt idx="142">
                        <c:v>6</c:v>
                      </c:pt>
                      <c:pt idx="143">
                        <c:v>29</c:v>
                      </c:pt>
                      <c:pt idx="144">
                        <c:v>9</c:v>
                      </c:pt>
                      <c:pt idx="145">
                        <c:v>37</c:v>
                      </c:pt>
                      <c:pt idx="146">
                        <c:v>27</c:v>
                      </c:pt>
                      <c:pt idx="147">
                        <c:v>25</c:v>
                      </c:pt>
                      <c:pt idx="148">
                        <c:v>23</c:v>
                      </c:pt>
                      <c:pt idx="149">
                        <c:v>42</c:v>
                      </c:pt>
                      <c:pt idx="150">
                        <c:v>29</c:v>
                      </c:pt>
                      <c:pt idx="151">
                        <c:v>39</c:v>
                      </c:pt>
                      <c:pt idx="152">
                        <c:v>8</c:v>
                      </c:pt>
                      <c:pt idx="153">
                        <c:v>49</c:v>
                      </c:pt>
                      <c:pt idx="154">
                        <c:v>22</c:v>
                      </c:pt>
                      <c:pt idx="155">
                        <c:v>46</c:v>
                      </c:pt>
                      <c:pt idx="156">
                        <c:v>11</c:v>
                      </c:pt>
                      <c:pt idx="157">
                        <c:v>25</c:v>
                      </c:pt>
                      <c:pt idx="158">
                        <c:v>1</c:v>
                      </c:pt>
                      <c:pt idx="159">
                        <c:v>48</c:v>
                      </c:pt>
                      <c:pt idx="160">
                        <c:v>24</c:v>
                      </c:pt>
                      <c:pt idx="161">
                        <c:v>29</c:v>
                      </c:pt>
                      <c:pt idx="162">
                        <c:v>48</c:v>
                      </c:pt>
                      <c:pt idx="163">
                        <c:v>13</c:v>
                      </c:pt>
                      <c:pt idx="164">
                        <c:v>29</c:v>
                      </c:pt>
                      <c:pt idx="165">
                        <c:v>47</c:v>
                      </c:pt>
                      <c:pt idx="166">
                        <c:v>50</c:v>
                      </c:pt>
                      <c:pt idx="167">
                        <c:v>20</c:v>
                      </c:pt>
                      <c:pt idx="168">
                        <c:v>20</c:v>
                      </c:pt>
                      <c:pt idx="169">
                        <c:v>7</c:v>
                      </c:pt>
                      <c:pt idx="170">
                        <c:v>37</c:v>
                      </c:pt>
                      <c:pt idx="171">
                        <c:v>22</c:v>
                      </c:pt>
                      <c:pt idx="172">
                        <c:v>46</c:v>
                      </c:pt>
                      <c:pt idx="173">
                        <c:v>23</c:v>
                      </c:pt>
                      <c:pt idx="174">
                        <c:v>22</c:v>
                      </c:pt>
                      <c:pt idx="175">
                        <c:v>46</c:v>
                      </c:pt>
                      <c:pt idx="176">
                        <c:v>19</c:v>
                      </c:pt>
                      <c:pt idx="177">
                        <c:v>31</c:v>
                      </c:pt>
                      <c:pt idx="178">
                        <c:v>49</c:v>
                      </c:pt>
                      <c:pt idx="179">
                        <c:v>21</c:v>
                      </c:pt>
                      <c:pt idx="180">
                        <c:v>47</c:v>
                      </c:pt>
                      <c:pt idx="181">
                        <c:v>19</c:v>
                      </c:pt>
                      <c:pt idx="182">
                        <c:v>43</c:v>
                      </c:pt>
                      <c:pt idx="183">
                        <c:v>34</c:v>
                      </c:pt>
                      <c:pt idx="184">
                        <c:v>50</c:v>
                      </c:pt>
                      <c:pt idx="185">
                        <c:v>33</c:v>
                      </c:pt>
                      <c:pt idx="186">
                        <c:v>42</c:v>
                      </c:pt>
                      <c:pt idx="187">
                        <c:v>39</c:v>
                      </c:pt>
                      <c:pt idx="188">
                        <c:v>3</c:v>
                      </c:pt>
                      <c:pt idx="189">
                        <c:v>22</c:v>
                      </c:pt>
                      <c:pt idx="190">
                        <c:v>9</c:v>
                      </c:pt>
                      <c:pt idx="191">
                        <c:v>21</c:v>
                      </c:pt>
                      <c:pt idx="192">
                        <c:v>3</c:v>
                      </c:pt>
                      <c:pt idx="193">
                        <c:v>0</c:v>
                      </c:pt>
                      <c:pt idx="194">
                        <c:v>47</c:v>
                      </c:pt>
                      <c:pt idx="195">
                        <c:v>8</c:v>
                      </c:pt>
                      <c:pt idx="196">
                        <c:v>1</c:v>
                      </c:pt>
                      <c:pt idx="197">
                        <c:v>44</c:v>
                      </c:pt>
                      <c:pt idx="198">
                        <c:v>42</c:v>
                      </c:pt>
                      <c:pt idx="199">
                        <c:v>20</c:v>
                      </c:pt>
                      <c:pt idx="200">
                        <c:v>10</c:v>
                      </c:pt>
                      <c:pt idx="201">
                        <c:v>23</c:v>
                      </c:pt>
                      <c:pt idx="202">
                        <c:v>39</c:v>
                      </c:pt>
                      <c:pt idx="203">
                        <c:v>35</c:v>
                      </c:pt>
                      <c:pt idx="204">
                        <c:v>39</c:v>
                      </c:pt>
                      <c:pt idx="205">
                        <c:v>26</c:v>
                      </c:pt>
                      <c:pt idx="206">
                        <c:v>3</c:v>
                      </c:pt>
                      <c:pt idx="207">
                        <c:v>18</c:v>
                      </c:pt>
                      <c:pt idx="208">
                        <c:v>22</c:v>
                      </c:pt>
                      <c:pt idx="209">
                        <c:v>13</c:v>
                      </c:pt>
                      <c:pt idx="210">
                        <c:v>30</c:v>
                      </c:pt>
                      <c:pt idx="211">
                        <c:v>23</c:v>
                      </c:pt>
                      <c:pt idx="212">
                        <c:v>50</c:v>
                      </c:pt>
                      <c:pt idx="213">
                        <c:v>35</c:v>
                      </c:pt>
                      <c:pt idx="214">
                        <c:v>43</c:v>
                      </c:pt>
                      <c:pt idx="215">
                        <c:v>28</c:v>
                      </c:pt>
                      <c:pt idx="216">
                        <c:v>36</c:v>
                      </c:pt>
                      <c:pt idx="217">
                        <c:v>13</c:v>
                      </c:pt>
                      <c:pt idx="218">
                        <c:v>19</c:v>
                      </c:pt>
                      <c:pt idx="219">
                        <c:v>37</c:v>
                      </c:pt>
                      <c:pt idx="220">
                        <c:v>28</c:v>
                      </c:pt>
                      <c:pt idx="221">
                        <c:v>40</c:v>
                      </c:pt>
                      <c:pt idx="222">
                        <c:v>19</c:v>
                      </c:pt>
                      <c:pt idx="223">
                        <c:v>33</c:v>
                      </c:pt>
                      <c:pt idx="224">
                        <c:v>32</c:v>
                      </c:pt>
                      <c:pt idx="225">
                        <c:v>29</c:v>
                      </c:pt>
                      <c:pt idx="226">
                        <c:v>5</c:v>
                      </c:pt>
                      <c:pt idx="227">
                        <c:v>18</c:v>
                      </c:pt>
                      <c:pt idx="228">
                        <c:v>13</c:v>
                      </c:pt>
                      <c:pt idx="229">
                        <c:v>0</c:v>
                      </c:pt>
                      <c:pt idx="230">
                        <c:v>4</c:v>
                      </c:pt>
                      <c:pt idx="231">
                        <c:v>6</c:v>
                      </c:pt>
                      <c:pt idx="232">
                        <c:v>22</c:v>
                      </c:pt>
                      <c:pt idx="233">
                        <c:v>18</c:v>
                      </c:pt>
                      <c:pt idx="234">
                        <c:v>30</c:v>
                      </c:pt>
                      <c:pt idx="235">
                        <c:v>37</c:v>
                      </c:pt>
                      <c:pt idx="236">
                        <c:v>39</c:v>
                      </c:pt>
                      <c:pt idx="237">
                        <c:v>44</c:v>
                      </c:pt>
                      <c:pt idx="238">
                        <c:v>48</c:v>
                      </c:pt>
                      <c:pt idx="239">
                        <c:v>12</c:v>
                      </c:pt>
                      <c:pt idx="240">
                        <c:v>49</c:v>
                      </c:pt>
                      <c:pt idx="241">
                        <c:v>50</c:v>
                      </c:pt>
                      <c:pt idx="242">
                        <c:v>50</c:v>
                      </c:pt>
                      <c:pt idx="243">
                        <c:v>36</c:v>
                      </c:pt>
                      <c:pt idx="244">
                        <c:v>39</c:v>
                      </c:pt>
                      <c:pt idx="245">
                        <c:v>23</c:v>
                      </c:pt>
                      <c:pt idx="246">
                        <c:v>0</c:v>
                      </c:pt>
                      <c:pt idx="247">
                        <c:v>19</c:v>
                      </c:pt>
                      <c:pt idx="248">
                        <c:v>21</c:v>
                      </c:pt>
                      <c:pt idx="249">
                        <c:v>26</c:v>
                      </c:pt>
                      <c:pt idx="250">
                        <c:v>50</c:v>
                      </c:pt>
                      <c:pt idx="251">
                        <c:v>21</c:v>
                      </c:pt>
                      <c:pt idx="252">
                        <c:v>4</c:v>
                      </c:pt>
                      <c:pt idx="253">
                        <c:v>29</c:v>
                      </c:pt>
                      <c:pt idx="254">
                        <c:v>14</c:v>
                      </c:pt>
                      <c:pt idx="255">
                        <c:v>5</c:v>
                      </c:pt>
                      <c:pt idx="256">
                        <c:v>11</c:v>
                      </c:pt>
                      <c:pt idx="257">
                        <c:v>35</c:v>
                      </c:pt>
                      <c:pt idx="258">
                        <c:v>9</c:v>
                      </c:pt>
                      <c:pt idx="259">
                        <c:v>18</c:v>
                      </c:pt>
                      <c:pt idx="260">
                        <c:v>28</c:v>
                      </c:pt>
                      <c:pt idx="261">
                        <c:v>50</c:v>
                      </c:pt>
                      <c:pt idx="262">
                        <c:v>0</c:v>
                      </c:pt>
                      <c:pt idx="263">
                        <c:v>24</c:v>
                      </c:pt>
                      <c:pt idx="264">
                        <c:v>4</c:v>
                      </c:pt>
                      <c:pt idx="265">
                        <c:v>30</c:v>
                      </c:pt>
                      <c:pt idx="266">
                        <c:v>46</c:v>
                      </c:pt>
                      <c:pt idx="267">
                        <c:v>7</c:v>
                      </c:pt>
                      <c:pt idx="268">
                        <c:v>46</c:v>
                      </c:pt>
                      <c:pt idx="269">
                        <c:v>1</c:v>
                      </c:pt>
                      <c:pt idx="270">
                        <c:v>27</c:v>
                      </c:pt>
                      <c:pt idx="271">
                        <c:v>46</c:v>
                      </c:pt>
                      <c:pt idx="272">
                        <c:v>16</c:v>
                      </c:pt>
                      <c:pt idx="273">
                        <c:v>41</c:v>
                      </c:pt>
                      <c:pt idx="274">
                        <c:v>10</c:v>
                      </c:pt>
                      <c:pt idx="275">
                        <c:v>21</c:v>
                      </c:pt>
                      <c:pt idx="276">
                        <c:v>43</c:v>
                      </c:pt>
                      <c:pt idx="277">
                        <c:v>33</c:v>
                      </c:pt>
                      <c:pt idx="278">
                        <c:v>26</c:v>
                      </c:pt>
                      <c:pt idx="279">
                        <c:v>45</c:v>
                      </c:pt>
                      <c:pt idx="280">
                        <c:v>31</c:v>
                      </c:pt>
                      <c:pt idx="281">
                        <c:v>2</c:v>
                      </c:pt>
                      <c:pt idx="282">
                        <c:v>34</c:v>
                      </c:pt>
                      <c:pt idx="283">
                        <c:v>22</c:v>
                      </c:pt>
                      <c:pt idx="284">
                        <c:v>0</c:v>
                      </c:pt>
                      <c:pt idx="285">
                        <c:v>10</c:v>
                      </c:pt>
                      <c:pt idx="286">
                        <c:v>30</c:v>
                      </c:pt>
                      <c:pt idx="287">
                        <c:v>38</c:v>
                      </c:pt>
                      <c:pt idx="288">
                        <c:v>14</c:v>
                      </c:pt>
                      <c:pt idx="289">
                        <c:v>26</c:v>
                      </c:pt>
                      <c:pt idx="290">
                        <c:v>28</c:v>
                      </c:pt>
                      <c:pt idx="291">
                        <c:v>32</c:v>
                      </c:pt>
                      <c:pt idx="292">
                        <c:v>36</c:v>
                      </c:pt>
                      <c:pt idx="293">
                        <c:v>20</c:v>
                      </c:pt>
                      <c:pt idx="294">
                        <c:v>24</c:v>
                      </c:pt>
                      <c:pt idx="295">
                        <c:v>39</c:v>
                      </c:pt>
                      <c:pt idx="296">
                        <c:v>8</c:v>
                      </c:pt>
                      <c:pt idx="297">
                        <c:v>33</c:v>
                      </c:pt>
                      <c:pt idx="298">
                        <c:v>13</c:v>
                      </c:pt>
                      <c:pt idx="299">
                        <c:v>17</c:v>
                      </c:pt>
                      <c:pt idx="300">
                        <c:v>14</c:v>
                      </c:pt>
                      <c:pt idx="301">
                        <c:v>32</c:v>
                      </c:pt>
                      <c:pt idx="302">
                        <c:v>21</c:v>
                      </c:pt>
                      <c:pt idx="303">
                        <c:v>9</c:v>
                      </c:pt>
                      <c:pt idx="304">
                        <c:v>39</c:v>
                      </c:pt>
                      <c:pt idx="305">
                        <c:v>11</c:v>
                      </c:pt>
                      <c:pt idx="306">
                        <c:v>7</c:v>
                      </c:pt>
                      <c:pt idx="307">
                        <c:v>48</c:v>
                      </c:pt>
                      <c:pt idx="308">
                        <c:v>8</c:v>
                      </c:pt>
                      <c:pt idx="309">
                        <c:v>21</c:v>
                      </c:pt>
                      <c:pt idx="310">
                        <c:v>15</c:v>
                      </c:pt>
                      <c:pt idx="311">
                        <c:v>20</c:v>
                      </c:pt>
                      <c:pt idx="312">
                        <c:v>16</c:v>
                      </c:pt>
                      <c:pt idx="313">
                        <c:v>17</c:v>
                      </c:pt>
                      <c:pt idx="314">
                        <c:v>6</c:v>
                      </c:pt>
                      <c:pt idx="315">
                        <c:v>27</c:v>
                      </c:pt>
                      <c:pt idx="316">
                        <c:v>4</c:v>
                      </c:pt>
                      <c:pt idx="317">
                        <c:v>7</c:v>
                      </c:pt>
                      <c:pt idx="318">
                        <c:v>46</c:v>
                      </c:pt>
                      <c:pt idx="319">
                        <c:v>42</c:v>
                      </c:pt>
                      <c:pt idx="320">
                        <c:v>43</c:v>
                      </c:pt>
                      <c:pt idx="321">
                        <c:v>45</c:v>
                      </c:pt>
                      <c:pt idx="322">
                        <c:v>25</c:v>
                      </c:pt>
                      <c:pt idx="323">
                        <c:v>48</c:v>
                      </c:pt>
                      <c:pt idx="324">
                        <c:v>18</c:v>
                      </c:pt>
                      <c:pt idx="325">
                        <c:v>0</c:v>
                      </c:pt>
                      <c:pt idx="326">
                        <c:v>29</c:v>
                      </c:pt>
                      <c:pt idx="327">
                        <c:v>22</c:v>
                      </c:pt>
                      <c:pt idx="328">
                        <c:v>49</c:v>
                      </c:pt>
                      <c:pt idx="329">
                        <c:v>45</c:v>
                      </c:pt>
                      <c:pt idx="330">
                        <c:v>36</c:v>
                      </c:pt>
                      <c:pt idx="331">
                        <c:v>19</c:v>
                      </c:pt>
                      <c:pt idx="332">
                        <c:v>3</c:v>
                      </c:pt>
                      <c:pt idx="333">
                        <c:v>1</c:v>
                      </c:pt>
                      <c:pt idx="334">
                        <c:v>39</c:v>
                      </c:pt>
                      <c:pt idx="335">
                        <c:v>39</c:v>
                      </c:pt>
                      <c:pt idx="336">
                        <c:v>45</c:v>
                      </c:pt>
                      <c:pt idx="337">
                        <c:v>49</c:v>
                      </c:pt>
                      <c:pt idx="338">
                        <c:v>44</c:v>
                      </c:pt>
                      <c:pt idx="339">
                        <c:v>35</c:v>
                      </c:pt>
                      <c:pt idx="340">
                        <c:v>20</c:v>
                      </c:pt>
                      <c:pt idx="341">
                        <c:v>36</c:v>
                      </c:pt>
                      <c:pt idx="342">
                        <c:v>50</c:v>
                      </c:pt>
                      <c:pt idx="343">
                        <c:v>32</c:v>
                      </c:pt>
                      <c:pt idx="344">
                        <c:v>16</c:v>
                      </c:pt>
                      <c:pt idx="345">
                        <c:v>42</c:v>
                      </c:pt>
                      <c:pt idx="346">
                        <c:v>49</c:v>
                      </c:pt>
                      <c:pt idx="347">
                        <c:v>12</c:v>
                      </c:pt>
                      <c:pt idx="348">
                        <c:v>50</c:v>
                      </c:pt>
                      <c:pt idx="349">
                        <c:v>28</c:v>
                      </c:pt>
                      <c:pt idx="350">
                        <c:v>2</c:v>
                      </c:pt>
                      <c:pt idx="351">
                        <c:v>27</c:v>
                      </c:pt>
                      <c:pt idx="352">
                        <c:v>31</c:v>
                      </c:pt>
                      <c:pt idx="353">
                        <c:v>4</c:v>
                      </c:pt>
                      <c:pt idx="354">
                        <c:v>35</c:v>
                      </c:pt>
                      <c:pt idx="355">
                        <c:v>8</c:v>
                      </c:pt>
                      <c:pt idx="356">
                        <c:v>2</c:v>
                      </c:pt>
                      <c:pt idx="357">
                        <c:v>0</c:v>
                      </c:pt>
                      <c:pt idx="358">
                        <c:v>32</c:v>
                      </c:pt>
                      <c:pt idx="359">
                        <c:v>0</c:v>
                      </c:pt>
                      <c:pt idx="360">
                        <c:v>48</c:v>
                      </c:pt>
                      <c:pt idx="361">
                        <c:v>39</c:v>
                      </c:pt>
                      <c:pt idx="362">
                        <c:v>43</c:v>
                      </c:pt>
                      <c:pt idx="363">
                        <c:v>50</c:v>
                      </c:pt>
                      <c:pt idx="364">
                        <c:v>31</c:v>
                      </c:pt>
                      <c:pt idx="365">
                        <c:v>32</c:v>
                      </c:pt>
                      <c:pt idx="366">
                        <c:v>26</c:v>
                      </c:pt>
                      <c:pt idx="367">
                        <c:v>25</c:v>
                      </c:pt>
                      <c:pt idx="368">
                        <c:v>25</c:v>
                      </c:pt>
                      <c:pt idx="369">
                        <c:v>42</c:v>
                      </c:pt>
                      <c:pt idx="370">
                        <c:v>42</c:v>
                      </c:pt>
                      <c:pt idx="371">
                        <c:v>7</c:v>
                      </c:pt>
                      <c:pt idx="372">
                        <c:v>45</c:v>
                      </c:pt>
                      <c:pt idx="373">
                        <c:v>20</c:v>
                      </c:pt>
                      <c:pt idx="374">
                        <c:v>28</c:v>
                      </c:pt>
                      <c:pt idx="375">
                        <c:v>5</c:v>
                      </c:pt>
                      <c:pt idx="376">
                        <c:v>50</c:v>
                      </c:pt>
                      <c:pt idx="377">
                        <c:v>6</c:v>
                      </c:pt>
                      <c:pt idx="378">
                        <c:v>38</c:v>
                      </c:pt>
                      <c:pt idx="379">
                        <c:v>2</c:v>
                      </c:pt>
                      <c:pt idx="380">
                        <c:v>32</c:v>
                      </c:pt>
                      <c:pt idx="381">
                        <c:v>3</c:v>
                      </c:pt>
                      <c:pt idx="382">
                        <c:v>5</c:v>
                      </c:pt>
                      <c:pt idx="383">
                        <c:v>25</c:v>
                      </c:pt>
                      <c:pt idx="384">
                        <c:v>50</c:v>
                      </c:pt>
                      <c:pt idx="385">
                        <c:v>46</c:v>
                      </c:pt>
                      <c:pt idx="386">
                        <c:v>28</c:v>
                      </c:pt>
                      <c:pt idx="387">
                        <c:v>28</c:v>
                      </c:pt>
                      <c:pt idx="388">
                        <c:v>30</c:v>
                      </c:pt>
                      <c:pt idx="389">
                        <c:v>25</c:v>
                      </c:pt>
                      <c:pt idx="390">
                        <c:v>34</c:v>
                      </c:pt>
                      <c:pt idx="391">
                        <c:v>2</c:v>
                      </c:pt>
                      <c:pt idx="392">
                        <c:v>22</c:v>
                      </c:pt>
                      <c:pt idx="393">
                        <c:v>45</c:v>
                      </c:pt>
                      <c:pt idx="394">
                        <c:v>2</c:v>
                      </c:pt>
                      <c:pt idx="395">
                        <c:v>5</c:v>
                      </c:pt>
                      <c:pt idx="396">
                        <c:v>37</c:v>
                      </c:pt>
                      <c:pt idx="397">
                        <c:v>32</c:v>
                      </c:pt>
                      <c:pt idx="398">
                        <c:v>40</c:v>
                      </c:pt>
                      <c:pt idx="399">
                        <c:v>25</c:v>
                      </c:pt>
                      <c:pt idx="400">
                        <c:v>0</c:v>
                      </c:pt>
                      <c:pt idx="401">
                        <c:v>9</c:v>
                      </c:pt>
                      <c:pt idx="402">
                        <c:v>4</c:v>
                      </c:pt>
                      <c:pt idx="403">
                        <c:v>40</c:v>
                      </c:pt>
                      <c:pt idx="404">
                        <c:v>16</c:v>
                      </c:pt>
                      <c:pt idx="405">
                        <c:v>8</c:v>
                      </c:pt>
                      <c:pt idx="406">
                        <c:v>3</c:v>
                      </c:pt>
                      <c:pt idx="407">
                        <c:v>1</c:v>
                      </c:pt>
                      <c:pt idx="408">
                        <c:v>5</c:v>
                      </c:pt>
                      <c:pt idx="409">
                        <c:v>9</c:v>
                      </c:pt>
                      <c:pt idx="410">
                        <c:v>27</c:v>
                      </c:pt>
                      <c:pt idx="411">
                        <c:v>15</c:v>
                      </c:pt>
                      <c:pt idx="412">
                        <c:v>46</c:v>
                      </c:pt>
                      <c:pt idx="413">
                        <c:v>37</c:v>
                      </c:pt>
                      <c:pt idx="414">
                        <c:v>22</c:v>
                      </c:pt>
                      <c:pt idx="415">
                        <c:v>13</c:v>
                      </c:pt>
                      <c:pt idx="416">
                        <c:v>7</c:v>
                      </c:pt>
                      <c:pt idx="417">
                        <c:v>32</c:v>
                      </c:pt>
                      <c:pt idx="418">
                        <c:v>26</c:v>
                      </c:pt>
                      <c:pt idx="419">
                        <c:v>16</c:v>
                      </c:pt>
                      <c:pt idx="420">
                        <c:v>47</c:v>
                      </c:pt>
                      <c:pt idx="421">
                        <c:v>17</c:v>
                      </c:pt>
                      <c:pt idx="422">
                        <c:v>11</c:v>
                      </c:pt>
                      <c:pt idx="423">
                        <c:v>38</c:v>
                      </c:pt>
                      <c:pt idx="424">
                        <c:v>36</c:v>
                      </c:pt>
                      <c:pt idx="425">
                        <c:v>5</c:v>
                      </c:pt>
                      <c:pt idx="426">
                        <c:v>36</c:v>
                      </c:pt>
                      <c:pt idx="427">
                        <c:v>41</c:v>
                      </c:pt>
                      <c:pt idx="428">
                        <c:v>42</c:v>
                      </c:pt>
                      <c:pt idx="429">
                        <c:v>23</c:v>
                      </c:pt>
                      <c:pt idx="430">
                        <c:v>14</c:v>
                      </c:pt>
                      <c:pt idx="431">
                        <c:v>7</c:v>
                      </c:pt>
                      <c:pt idx="432">
                        <c:v>37</c:v>
                      </c:pt>
                      <c:pt idx="433">
                        <c:v>39</c:v>
                      </c:pt>
                      <c:pt idx="434">
                        <c:v>10</c:v>
                      </c:pt>
                      <c:pt idx="435">
                        <c:v>37</c:v>
                      </c:pt>
                      <c:pt idx="436">
                        <c:v>35</c:v>
                      </c:pt>
                      <c:pt idx="437">
                        <c:v>44</c:v>
                      </c:pt>
                      <c:pt idx="438">
                        <c:v>4</c:v>
                      </c:pt>
                      <c:pt idx="439">
                        <c:v>4</c:v>
                      </c:pt>
                      <c:pt idx="440">
                        <c:v>7</c:v>
                      </c:pt>
                      <c:pt idx="441">
                        <c:v>28</c:v>
                      </c:pt>
                      <c:pt idx="442">
                        <c:v>44</c:v>
                      </c:pt>
                      <c:pt idx="443">
                        <c:v>30</c:v>
                      </c:pt>
                      <c:pt idx="444">
                        <c:v>10</c:v>
                      </c:pt>
                      <c:pt idx="445">
                        <c:v>34</c:v>
                      </c:pt>
                      <c:pt idx="446">
                        <c:v>37</c:v>
                      </c:pt>
                      <c:pt idx="447">
                        <c:v>37</c:v>
                      </c:pt>
                      <c:pt idx="448">
                        <c:v>31</c:v>
                      </c:pt>
                      <c:pt idx="449">
                        <c:v>34</c:v>
                      </c:pt>
                      <c:pt idx="450">
                        <c:v>5</c:v>
                      </c:pt>
                      <c:pt idx="451">
                        <c:v>25</c:v>
                      </c:pt>
                      <c:pt idx="452">
                        <c:v>28</c:v>
                      </c:pt>
                      <c:pt idx="453">
                        <c:v>7</c:v>
                      </c:pt>
                      <c:pt idx="454">
                        <c:v>50</c:v>
                      </c:pt>
                      <c:pt idx="455">
                        <c:v>23</c:v>
                      </c:pt>
                      <c:pt idx="456">
                        <c:v>6</c:v>
                      </c:pt>
                      <c:pt idx="457">
                        <c:v>16</c:v>
                      </c:pt>
                      <c:pt idx="458">
                        <c:v>34</c:v>
                      </c:pt>
                      <c:pt idx="459">
                        <c:v>10</c:v>
                      </c:pt>
                      <c:pt idx="460">
                        <c:v>25</c:v>
                      </c:pt>
                      <c:pt idx="461">
                        <c:v>10</c:v>
                      </c:pt>
                      <c:pt idx="462">
                        <c:v>4</c:v>
                      </c:pt>
                      <c:pt idx="463">
                        <c:v>46</c:v>
                      </c:pt>
                      <c:pt idx="464">
                        <c:v>31</c:v>
                      </c:pt>
                      <c:pt idx="465">
                        <c:v>18</c:v>
                      </c:pt>
                      <c:pt idx="466">
                        <c:v>41</c:v>
                      </c:pt>
                      <c:pt idx="467">
                        <c:v>11</c:v>
                      </c:pt>
                      <c:pt idx="468">
                        <c:v>48</c:v>
                      </c:pt>
                      <c:pt idx="469">
                        <c:v>16</c:v>
                      </c:pt>
                      <c:pt idx="470">
                        <c:v>38</c:v>
                      </c:pt>
                      <c:pt idx="471">
                        <c:v>22</c:v>
                      </c:pt>
                      <c:pt idx="472">
                        <c:v>24</c:v>
                      </c:pt>
                      <c:pt idx="473">
                        <c:v>32</c:v>
                      </c:pt>
                      <c:pt idx="474">
                        <c:v>48</c:v>
                      </c:pt>
                      <c:pt idx="475">
                        <c:v>29</c:v>
                      </c:pt>
                      <c:pt idx="476">
                        <c:v>46</c:v>
                      </c:pt>
                      <c:pt idx="477">
                        <c:v>37</c:v>
                      </c:pt>
                      <c:pt idx="478">
                        <c:v>28</c:v>
                      </c:pt>
                      <c:pt idx="479">
                        <c:v>1</c:v>
                      </c:pt>
                      <c:pt idx="480">
                        <c:v>9</c:v>
                      </c:pt>
                      <c:pt idx="481">
                        <c:v>48</c:v>
                      </c:pt>
                      <c:pt idx="482">
                        <c:v>28</c:v>
                      </c:pt>
                      <c:pt idx="483">
                        <c:v>7</c:v>
                      </c:pt>
                      <c:pt idx="484">
                        <c:v>22</c:v>
                      </c:pt>
                      <c:pt idx="485">
                        <c:v>11</c:v>
                      </c:pt>
                      <c:pt idx="486">
                        <c:v>12</c:v>
                      </c:pt>
                      <c:pt idx="487">
                        <c:v>17</c:v>
                      </c:pt>
                      <c:pt idx="488">
                        <c:v>6</c:v>
                      </c:pt>
                      <c:pt idx="489">
                        <c:v>27</c:v>
                      </c:pt>
                      <c:pt idx="490">
                        <c:v>23</c:v>
                      </c:pt>
                      <c:pt idx="491">
                        <c:v>31</c:v>
                      </c:pt>
                      <c:pt idx="492">
                        <c:v>24</c:v>
                      </c:pt>
                      <c:pt idx="493">
                        <c:v>38</c:v>
                      </c:pt>
                      <c:pt idx="494">
                        <c:v>32</c:v>
                      </c:pt>
                      <c:pt idx="495">
                        <c:v>32</c:v>
                      </c:pt>
                      <c:pt idx="496">
                        <c:v>17</c:v>
                      </c:pt>
                      <c:pt idx="497">
                        <c:v>22</c:v>
                      </c:pt>
                      <c:pt idx="498">
                        <c:v>36</c:v>
                      </c:pt>
                      <c:pt idx="499">
                        <c:v>16</c:v>
                      </c:pt>
                    </c:numCache>
                  </c:numRef>
                </c:yVal>
                <c:smooth val="0"/>
                <c:extLst>
                  <c:ext xmlns:c16="http://schemas.microsoft.com/office/drawing/2014/chart" uri="{C3380CC4-5D6E-409C-BE32-E72D297353CC}">
                    <c16:uniqueId val="{00000003-CE13-4EBB-880A-F89C363E79D8}"/>
                  </c:ext>
                </c:extLst>
              </c15:ser>
            </c15:filteredScatterSeries>
            <c15:filteredScatterSeries>
              <c15:ser>
                <c:idx val="1"/>
                <c:order val="1"/>
                <c:tx>
                  <c:strRef>
                    <c:extLst>
                      <c:ext xmlns:c15="http://schemas.microsoft.com/office/drawing/2012/chart" uri="{02D57815-91ED-43cb-92C2-25804820EDAC}">
                        <c15:formulaRef>
                          <c15:sqref>User_data!$E$2</c15:sqref>
                        </c15:formulaRef>
                      </c:ext>
                    </c:extLst>
                    <c:strCache>
                      <c:ptCount val="1"/>
                      <c:pt idx="0">
                        <c:v>Comments</c:v>
                      </c:pt>
                    </c:strCache>
                  </c:strRef>
                </c:tx>
                <c:spPr>
                  <a:ln w="38100" cap="rnd">
                    <a:noFill/>
                    <a:round/>
                  </a:ln>
                  <a:effectLst/>
                </c:spPr>
                <c:marker>
                  <c:symbol val="circle"/>
                  <c:size val="5"/>
                  <c:spPr>
                    <a:solidFill>
                      <a:schemeClr val="accent2"/>
                    </a:solidFill>
                    <a:ln w="9525">
                      <a:solidFill>
                        <a:schemeClr val="accent2"/>
                      </a:solidFill>
                    </a:ln>
                    <a:effectLst/>
                  </c:spPr>
                </c:marker>
                <c:xVal>
                  <c:multiLvlStrRef>
                    <c:extLst>
                      <c:ext xmlns:c15="http://schemas.microsoft.com/office/drawing/2012/chart" uri="{02D57815-91ED-43cb-92C2-25804820EDAC}">
                        <c15:formulaRef>
                          <c15:sqref>User_data!$A$3:$C$502</c15:sqref>
                        </c15:formulaRef>
                      </c:ext>
                    </c:extLst>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extLst>
                      <c:ext xmlns:c15="http://schemas.microsoft.com/office/drawing/2012/chart" uri="{02D57815-91ED-43cb-92C2-25804820EDAC}">
                        <c15:formulaRef>
                          <c15:sqref>User_data!$E$3:$E$502</c15:sqref>
                        </c15:formulaRef>
                      </c:ext>
                    </c:extLst>
                    <c:numCache>
                      <c:formatCode>General</c:formatCode>
                      <c:ptCount val="500"/>
                      <c:pt idx="0">
                        <c:v>6</c:v>
                      </c:pt>
                      <c:pt idx="1">
                        <c:v>5</c:v>
                      </c:pt>
                      <c:pt idx="2">
                        <c:v>1</c:v>
                      </c:pt>
                      <c:pt idx="3">
                        <c:v>4</c:v>
                      </c:pt>
                      <c:pt idx="4">
                        <c:v>9</c:v>
                      </c:pt>
                      <c:pt idx="5">
                        <c:v>10</c:v>
                      </c:pt>
                      <c:pt idx="6">
                        <c:v>9</c:v>
                      </c:pt>
                      <c:pt idx="7">
                        <c:v>7</c:v>
                      </c:pt>
                      <c:pt idx="8">
                        <c:v>7</c:v>
                      </c:pt>
                      <c:pt idx="9">
                        <c:v>6</c:v>
                      </c:pt>
                      <c:pt idx="10">
                        <c:v>8</c:v>
                      </c:pt>
                      <c:pt idx="11">
                        <c:v>4</c:v>
                      </c:pt>
                      <c:pt idx="12">
                        <c:v>8</c:v>
                      </c:pt>
                      <c:pt idx="13">
                        <c:v>8</c:v>
                      </c:pt>
                      <c:pt idx="14">
                        <c:v>6</c:v>
                      </c:pt>
                      <c:pt idx="15">
                        <c:v>6</c:v>
                      </c:pt>
                      <c:pt idx="16">
                        <c:v>9</c:v>
                      </c:pt>
                      <c:pt idx="17">
                        <c:v>2</c:v>
                      </c:pt>
                      <c:pt idx="18">
                        <c:v>4</c:v>
                      </c:pt>
                      <c:pt idx="19">
                        <c:v>10</c:v>
                      </c:pt>
                      <c:pt idx="20">
                        <c:v>9</c:v>
                      </c:pt>
                      <c:pt idx="21">
                        <c:v>1</c:v>
                      </c:pt>
                      <c:pt idx="22">
                        <c:v>10</c:v>
                      </c:pt>
                      <c:pt idx="23">
                        <c:v>0</c:v>
                      </c:pt>
                      <c:pt idx="24">
                        <c:v>1</c:v>
                      </c:pt>
                      <c:pt idx="25">
                        <c:v>5</c:v>
                      </c:pt>
                      <c:pt idx="26">
                        <c:v>1</c:v>
                      </c:pt>
                      <c:pt idx="27">
                        <c:v>10</c:v>
                      </c:pt>
                      <c:pt idx="28">
                        <c:v>0</c:v>
                      </c:pt>
                      <c:pt idx="29">
                        <c:v>2</c:v>
                      </c:pt>
                      <c:pt idx="30">
                        <c:v>8</c:v>
                      </c:pt>
                      <c:pt idx="31">
                        <c:v>10</c:v>
                      </c:pt>
                      <c:pt idx="32">
                        <c:v>9</c:v>
                      </c:pt>
                      <c:pt idx="33">
                        <c:v>3</c:v>
                      </c:pt>
                      <c:pt idx="34">
                        <c:v>6</c:v>
                      </c:pt>
                      <c:pt idx="35">
                        <c:v>0</c:v>
                      </c:pt>
                      <c:pt idx="36">
                        <c:v>8</c:v>
                      </c:pt>
                      <c:pt idx="37">
                        <c:v>2</c:v>
                      </c:pt>
                      <c:pt idx="38">
                        <c:v>0</c:v>
                      </c:pt>
                      <c:pt idx="39">
                        <c:v>0</c:v>
                      </c:pt>
                      <c:pt idx="40">
                        <c:v>5</c:v>
                      </c:pt>
                      <c:pt idx="41">
                        <c:v>1</c:v>
                      </c:pt>
                      <c:pt idx="42">
                        <c:v>1</c:v>
                      </c:pt>
                      <c:pt idx="43">
                        <c:v>6</c:v>
                      </c:pt>
                      <c:pt idx="44">
                        <c:v>1</c:v>
                      </c:pt>
                      <c:pt idx="45">
                        <c:v>8</c:v>
                      </c:pt>
                      <c:pt idx="46">
                        <c:v>10</c:v>
                      </c:pt>
                      <c:pt idx="47">
                        <c:v>8</c:v>
                      </c:pt>
                      <c:pt idx="48">
                        <c:v>7</c:v>
                      </c:pt>
                      <c:pt idx="49">
                        <c:v>2</c:v>
                      </c:pt>
                      <c:pt idx="50">
                        <c:v>0</c:v>
                      </c:pt>
                      <c:pt idx="51">
                        <c:v>8</c:v>
                      </c:pt>
                      <c:pt idx="52">
                        <c:v>1</c:v>
                      </c:pt>
                      <c:pt idx="53">
                        <c:v>2</c:v>
                      </c:pt>
                      <c:pt idx="54">
                        <c:v>4</c:v>
                      </c:pt>
                      <c:pt idx="55">
                        <c:v>9</c:v>
                      </c:pt>
                      <c:pt idx="56">
                        <c:v>9</c:v>
                      </c:pt>
                      <c:pt idx="57">
                        <c:v>1</c:v>
                      </c:pt>
                      <c:pt idx="58">
                        <c:v>4</c:v>
                      </c:pt>
                      <c:pt idx="59">
                        <c:v>1</c:v>
                      </c:pt>
                      <c:pt idx="60">
                        <c:v>7</c:v>
                      </c:pt>
                      <c:pt idx="61">
                        <c:v>0</c:v>
                      </c:pt>
                      <c:pt idx="62">
                        <c:v>9</c:v>
                      </c:pt>
                      <c:pt idx="63">
                        <c:v>6</c:v>
                      </c:pt>
                      <c:pt idx="64">
                        <c:v>0</c:v>
                      </c:pt>
                      <c:pt idx="65">
                        <c:v>7</c:v>
                      </c:pt>
                      <c:pt idx="66">
                        <c:v>7</c:v>
                      </c:pt>
                      <c:pt idx="67">
                        <c:v>6</c:v>
                      </c:pt>
                      <c:pt idx="68">
                        <c:v>10</c:v>
                      </c:pt>
                      <c:pt idx="69">
                        <c:v>6</c:v>
                      </c:pt>
                      <c:pt idx="70">
                        <c:v>10</c:v>
                      </c:pt>
                      <c:pt idx="71">
                        <c:v>8</c:v>
                      </c:pt>
                      <c:pt idx="72">
                        <c:v>5</c:v>
                      </c:pt>
                      <c:pt idx="73">
                        <c:v>3</c:v>
                      </c:pt>
                      <c:pt idx="74">
                        <c:v>1</c:v>
                      </c:pt>
                      <c:pt idx="75">
                        <c:v>3</c:v>
                      </c:pt>
                      <c:pt idx="76">
                        <c:v>1</c:v>
                      </c:pt>
                      <c:pt idx="77">
                        <c:v>6</c:v>
                      </c:pt>
                      <c:pt idx="78">
                        <c:v>0</c:v>
                      </c:pt>
                      <c:pt idx="79">
                        <c:v>0</c:v>
                      </c:pt>
                      <c:pt idx="80">
                        <c:v>9</c:v>
                      </c:pt>
                      <c:pt idx="81">
                        <c:v>2</c:v>
                      </c:pt>
                      <c:pt idx="82">
                        <c:v>4</c:v>
                      </c:pt>
                      <c:pt idx="83">
                        <c:v>1</c:v>
                      </c:pt>
                      <c:pt idx="84">
                        <c:v>2</c:v>
                      </c:pt>
                      <c:pt idx="85">
                        <c:v>9</c:v>
                      </c:pt>
                      <c:pt idx="86">
                        <c:v>4</c:v>
                      </c:pt>
                      <c:pt idx="87">
                        <c:v>0</c:v>
                      </c:pt>
                      <c:pt idx="88">
                        <c:v>3</c:v>
                      </c:pt>
                      <c:pt idx="89">
                        <c:v>10</c:v>
                      </c:pt>
                      <c:pt idx="90">
                        <c:v>2</c:v>
                      </c:pt>
                      <c:pt idx="91">
                        <c:v>2</c:v>
                      </c:pt>
                      <c:pt idx="92">
                        <c:v>8</c:v>
                      </c:pt>
                      <c:pt idx="93">
                        <c:v>0</c:v>
                      </c:pt>
                      <c:pt idx="94">
                        <c:v>1</c:v>
                      </c:pt>
                      <c:pt idx="95">
                        <c:v>2</c:v>
                      </c:pt>
                      <c:pt idx="96">
                        <c:v>0</c:v>
                      </c:pt>
                      <c:pt idx="97">
                        <c:v>10</c:v>
                      </c:pt>
                      <c:pt idx="98">
                        <c:v>9</c:v>
                      </c:pt>
                      <c:pt idx="99">
                        <c:v>6</c:v>
                      </c:pt>
                      <c:pt idx="100">
                        <c:v>7</c:v>
                      </c:pt>
                      <c:pt idx="101">
                        <c:v>10</c:v>
                      </c:pt>
                      <c:pt idx="102">
                        <c:v>9</c:v>
                      </c:pt>
                      <c:pt idx="103">
                        <c:v>5</c:v>
                      </c:pt>
                      <c:pt idx="104">
                        <c:v>9</c:v>
                      </c:pt>
                      <c:pt idx="105">
                        <c:v>4</c:v>
                      </c:pt>
                      <c:pt idx="106">
                        <c:v>10</c:v>
                      </c:pt>
                      <c:pt idx="107">
                        <c:v>5</c:v>
                      </c:pt>
                      <c:pt idx="108">
                        <c:v>1</c:v>
                      </c:pt>
                      <c:pt idx="109">
                        <c:v>0</c:v>
                      </c:pt>
                      <c:pt idx="110">
                        <c:v>5</c:v>
                      </c:pt>
                      <c:pt idx="111">
                        <c:v>5</c:v>
                      </c:pt>
                      <c:pt idx="112">
                        <c:v>9</c:v>
                      </c:pt>
                      <c:pt idx="113">
                        <c:v>5</c:v>
                      </c:pt>
                      <c:pt idx="114">
                        <c:v>2</c:v>
                      </c:pt>
                      <c:pt idx="115">
                        <c:v>10</c:v>
                      </c:pt>
                      <c:pt idx="116">
                        <c:v>5</c:v>
                      </c:pt>
                      <c:pt idx="117">
                        <c:v>6</c:v>
                      </c:pt>
                      <c:pt idx="118">
                        <c:v>2</c:v>
                      </c:pt>
                      <c:pt idx="119">
                        <c:v>9</c:v>
                      </c:pt>
                      <c:pt idx="120">
                        <c:v>1</c:v>
                      </c:pt>
                      <c:pt idx="121">
                        <c:v>6</c:v>
                      </c:pt>
                      <c:pt idx="122">
                        <c:v>8</c:v>
                      </c:pt>
                      <c:pt idx="123">
                        <c:v>8</c:v>
                      </c:pt>
                      <c:pt idx="124">
                        <c:v>1</c:v>
                      </c:pt>
                      <c:pt idx="125">
                        <c:v>0</c:v>
                      </c:pt>
                      <c:pt idx="126">
                        <c:v>9</c:v>
                      </c:pt>
                      <c:pt idx="127">
                        <c:v>9</c:v>
                      </c:pt>
                      <c:pt idx="128">
                        <c:v>1</c:v>
                      </c:pt>
                      <c:pt idx="129">
                        <c:v>1</c:v>
                      </c:pt>
                      <c:pt idx="130">
                        <c:v>9</c:v>
                      </c:pt>
                      <c:pt idx="131">
                        <c:v>9</c:v>
                      </c:pt>
                      <c:pt idx="132">
                        <c:v>4</c:v>
                      </c:pt>
                      <c:pt idx="133">
                        <c:v>7</c:v>
                      </c:pt>
                      <c:pt idx="134">
                        <c:v>3</c:v>
                      </c:pt>
                      <c:pt idx="135">
                        <c:v>0</c:v>
                      </c:pt>
                      <c:pt idx="136">
                        <c:v>6</c:v>
                      </c:pt>
                      <c:pt idx="137">
                        <c:v>5</c:v>
                      </c:pt>
                      <c:pt idx="138">
                        <c:v>9</c:v>
                      </c:pt>
                      <c:pt idx="139">
                        <c:v>5</c:v>
                      </c:pt>
                      <c:pt idx="140">
                        <c:v>0</c:v>
                      </c:pt>
                      <c:pt idx="141">
                        <c:v>0</c:v>
                      </c:pt>
                      <c:pt idx="142">
                        <c:v>3</c:v>
                      </c:pt>
                      <c:pt idx="143">
                        <c:v>5</c:v>
                      </c:pt>
                      <c:pt idx="144">
                        <c:v>1</c:v>
                      </c:pt>
                      <c:pt idx="145">
                        <c:v>10</c:v>
                      </c:pt>
                      <c:pt idx="146">
                        <c:v>6</c:v>
                      </c:pt>
                      <c:pt idx="147">
                        <c:v>7</c:v>
                      </c:pt>
                      <c:pt idx="148">
                        <c:v>7</c:v>
                      </c:pt>
                      <c:pt idx="149">
                        <c:v>8</c:v>
                      </c:pt>
                      <c:pt idx="150">
                        <c:v>1</c:v>
                      </c:pt>
                      <c:pt idx="151">
                        <c:v>7</c:v>
                      </c:pt>
                      <c:pt idx="152">
                        <c:v>2</c:v>
                      </c:pt>
                      <c:pt idx="153">
                        <c:v>6</c:v>
                      </c:pt>
                      <c:pt idx="154">
                        <c:v>8</c:v>
                      </c:pt>
                      <c:pt idx="155">
                        <c:v>5</c:v>
                      </c:pt>
                      <c:pt idx="156">
                        <c:v>9</c:v>
                      </c:pt>
                      <c:pt idx="157">
                        <c:v>6</c:v>
                      </c:pt>
                      <c:pt idx="158">
                        <c:v>6</c:v>
                      </c:pt>
                      <c:pt idx="159">
                        <c:v>0</c:v>
                      </c:pt>
                      <c:pt idx="160">
                        <c:v>2</c:v>
                      </c:pt>
                      <c:pt idx="161">
                        <c:v>2</c:v>
                      </c:pt>
                      <c:pt idx="162">
                        <c:v>6</c:v>
                      </c:pt>
                      <c:pt idx="163">
                        <c:v>3</c:v>
                      </c:pt>
                      <c:pt idx="164">
                        <c:v>3</c:v>
                      </c:pt>
                      <c:pt idx="165">
                        <c:v>4</c:v>
                      </c:pt>
                      <c:pt idx="166">
                        <c:v>8</c:v>
                      </c:pt>
                      <c:pt idx="167">
                        <c:v>3</c:v>
                      </c:pt>
                      <c:pt idx="168">
                        <c:v>5</c:v>
                      </c:pt>
                      <c:pt idx="169">
                        <c:v>5</c:v>
                      </c:pt>
                      <c:pt idx="170">
                        <c:v>5</c:v>
                      </c:pt>
                      <c:pt idx="171">
                        <c:v>5</c:v>
                      </c:pt>
                      <c:pt idx="172">
                        <c:v>4</c:v>
                      </c:pt>
                      <c:pt idx="173">
                        <c:v>4</c:v>
                      </c:pt>
                      <c:pt idx="174">
                        <c:v>8</c:v>
                      </c:pt>
                      <c:pt idx="175">
                        <c:v>10</c:v>
                      </c:pt>
                      <c:pt idx="176">
                        <c:v>1</c:v>
                      </c:pt>
                      <c:pt idx="177">
                        <c:v>9</c:v>
                      </c:pt>
                      <c:pt idx="178">
                        <c:v>0</c:v>
                      </c:pt>
                      <c:pt idx="179">
                        <c:v>9</c:v>
                      </c:pt>
                      <c:pt idx="180">
                        <c:v>2</c:v>
                      </c:pt>
                      <c:pt idx="181">
                        <c:v>10</c:v>
                      </c:pt>
                      <c:pt idx="182">
                        <c:v>0</c:v>
                      </c:pt>
                      <c:pt idx="183">
                        <c:v>10</c:v>
                      </c:pt>
                      <c:pt idx="184">
                        <c:v>1</c:v>
                      </c:pt>
                      <c:pt idx="185">
                        <c:v>5</c:v>
                      </c:pt>
                      <c:pt idx="186">
                        <c:v>2</c:v>
                      </c:pt>
                      <c:pt idx="187">
                        <c:v>4</c:v>
                      </c:pt>
                      <c:pt idx="188">
                        <c:v>8</c:v>
                      </c:pt>
                      <c:pt idx="189">
                        <c:v>0</c:v>
                      </c:pt>
                      <c:pt idx="190">
                        <c:v>1</c:v>
                      </c:pt>
                      <c:pt idx="191">
                        <c:v>7</c:v>
                      </c:pt>
                      <c:pt idx="192">
                        <c:v>3</c:v>
                      </c:pt>
                      <c:pt idx="193">
                        <c:v>5</c:v>
                      </c:pt>
                      <c:pt idx="194">
                        <c:v>7</c:v>
                      </c:pt>
                      <c:pt idx="195">
                        <c:v>5</c:v>
                      </c:pt>
                      <c:pt idx="196">
                        <c:v>9</c:v>
                      </c:pt>
                      <c:pt idx="197">
                        <c:v>9</c:v>
                      </c:pt>
                      <c:pt idx="198">
                        <c:v>5</c:v>
                      </c:pt>
                      <c:pt idx="199">
                        <c:v>10</c:v>
                      </c:pt>
                      <c:pt idx="200">
                        <c:v>10</c:v>
                      </c:pt>
                      <c:pt idx="201">
                        <c:v>2</c:v>
                      </c:pt>
                      <c:pt idx="202">
                        <c:v>9</c:v>
                      </c:pt>
                      <c:pt idx="203">
                        <c:v>3</c:v>
                      </c:pt>
                      <c:pt idx="204">
                        <c:v>1</c:v>
                      </c:pt>
                      <c:pt idx="205">
                        <c:v>1</c:v>
                      </c:pt>
                      <c:pt idx="206">
                        <c:v>8</c:v>
                      </c:pt>
                      <c:pt idx="207">
                        <c:v>10</c:v>
                      </c:pt>
                      <c:pt idx="208">
                        <c:v>8</c:v>
                      </c:pt>
                      <c:pt idx="209">
                        <c:v>1</c:v>
                      </c:pt>
                      <c:pt idx="210">
                        <c:v>10</c:v>
                      </c:pt>
                      <c:pt idx="211">
                        <c:v>10</c:v>
                      </c:pt>
                      <c:pt idx="212">
                        <c:v>9</c:v>
                      </c:pt>
                      <c:pt idx="213">
                        <c:v>8</c:v>
                      </c:pt>
                      <c:pt idx="214">
                        <c:v>2</c:v>
                      </c:pt>
                      <c:pt idx="215">
                        <c:v>3</c:v>
                      </c:pt>
                      <c:pt idx="216">
                        <c:v>0</c:v>
                      </c:pt>
                      <c:pt idx="217">
                        <c:v>8</c:v>
                      </c:pt>
                      <c:pt idx="218">
                        <c:v>8</c:v>
                      </c:pt>
                      <c:pt idx="219">
                        <c:v>10</c:v>
                      </c:pt>
                      <c:pt idx="220">
                        <c:v>2</c:v>
                      </c:pt>
                      <c:pt idx="221">
                        <c:v>3</c:v>
                      </c:pt>
                      <c:pt idx="222">
                        <c:v>0</c:v>
                      </c:pt>
                      <c:pt idx="223">
                        <c:v>1</c:v>
                      </c:pt>
                      <c:pt idx="224">
                        <c:v>4</c:v>
                      </c:pt>
                      <c:pt idx="225">
                        <c:v>8</c:v>
                      </c:pt>
                      <c:pt idx="226">
                        <c:v>2</c:v>
                      </c:pt>
                      <c:pt idx="227">
                        <c:v>7</c:v>
                      </c:pt>
                      <c:pt idx="228">
                        <c:v>2</c:v>
                      </c:pt>
                      <c:pt idx="229">
                        <c:v>6</c:v>
                      </c:pt>
                      <c:pt idx="230">
                        <c:v>8</c:v>
                      </c:pt>
                      <c:pt idx="231">
                        <c:v>4</c:v>
                      </c:pt>
                      <c:pt idx="232">
                        <c:v>1</c:v>
                      </c:pt>
                      <c:pt idx="233">
                        <c:v>3</c:v>
                      </c:pt>
                      <c:pt idx="234">
                        <c:v>3</c:v>
                      </c:pt>
                      <c:pt idx="235">
                        <c:v>0</c:v>
                      </c:pt>
                      <c:pt idx="236">
                        <c:v>6</c:v>
                      </c:pt>
                      <c:pt idx="237">
                        <c:v>3</c:v>
                      </c:pt>
                      <c:pt idx="238">
                        <c:v>0</c:v>
                      </c:pt>
                      <c:pt idx="239">
                        <c:v>4</c:v>
                      </c:pt>
                      <c:pt idx="240">
                        <c:v>1</c:v>
                      </c:pt>
                      <c:pt idx="241">
                        <c:v>0</c:v>
                      </c:pt>
                      <c:pt idx="242">
                        <c:v>4</c:v>
                      </c:pt>
                      <c:pt idx="243">
                        <c:v>5</c:v>
                      </c:pt>
                      <c:pt idx="244">
                        <c:v>4</c:v>
                      </c:pt>
                      <c:pt idx="245">
                        <c:v>8</c:v>
                      </c:pt>
                      <c:pt idx="246">
                        <c:v>1</c:v>
                      </c:pt>
                      <c:pt idx="247">
                        <c:v>2</c:v>
                      </c:pt>
                      <c:pt idx="248">
                        <c:v>2</c:v>
                      </c:pt>
                      <c:pt idx="249">
                        <c:v>9</c:v>
                      </c:pt>
                      <c:pt idx="250">
                        <c:v>4</c:v>
                      </c:pt>
                      <c:pt idx="251">
                        <c:v>3</c:v>
                      </c:pt>
                      <c:pt idx="252">
                        <c:v>4</c:v>
                      </c:pt>
                      <c:pt idx="253">
                        <c:v>1</c:v>
                      </c:pt>
                      <c:pt idx="254">
                        <c:v>2</c:v>
                      </c:pt>
                      <c:pt idx="255">
                        <c:v>3</c:v>
                      </c:pt>
                      <c:pt idx="256">
                        <c:v>0</c:v>
                      </c:pt>
                      <c:pt idx="257">
                        <c:v>7</c:v>
                      </c:pt>
                      <c:pt idx="258">
                        <c:v>4</c:v>
                      </c:pt>
                      <c:pt idx="259">
                        <c:v>10</c:v>
                      </c:pt>
                      <c:pt idx="260">
                        <c:v>7</c:v>
                      </c:pt>
                      <c:pt idx="261">
                        <c:v>2</c:v>
                      </c:pt>
                      <c:pt idx="262">
                        <c:v>5</c:v>
                      </c:pt>
                      <c:pt idx="263">
                        <c:v>10</c:v>
                      </c:pt>
                      <c:pt idx="264">
                        <c:v>8</c:v>
                      </c:pt>
                      <c:pt idx="265">
                        <c:v>2</c:v>
                      </c:pt>
                      <c:pt idx="266">
                        <c:v>7</c:v>
                      </c:pt>
                      <c:pt idx="267">
                        <c:v>0</c:v>
                      </c:pt>
                      <c:pt idx="268">
                        <c:v>10</c:v>
                      </c:pt>
                      <c:pt idx="269">
                        <c:v>10</c:v>
                      </c:pt>
                      <c:pt idx="270">
                        <c:v>4</c:v>
                      </c:pt>
                      <c:pt idx="271">
                        <c:v>1</c:v>
                      </c:pt>
                      <c:pt idx="272">
                        <c:v>3</c:v>
                      </c:pt>
                      <c:pt idx="273">
                        <c:v>9</c:v>
                      </c:pt>
                      <c:pt idx="274">
                        <c:v>2</c:v>
                      </c:pt>
                      <c:pt idx="275">
                        <c:v>0</c:v>
                      </c:pt>
                      <c:pt idx="276">
                        <c:v>9</c:v>
                      </c:pt>
                      <c:pt idx="277">
                        <c:v>7</c:v>
                      </c:pt>
                      <c:pt idx="278">
                        <c:v>5</c:v>
                      </c:pt>
                      <c:pt idx="279">
                        <c:v>10</c:v>
                      </c:pt>
                      <c:pt idx="280">
                        <c:v>10</c:v>
                      </c:pt>
                      <c:pt idx="281">
                        <c:v>7</c:v>
                      </c:pt>
                      <c:pt idx="282">
                        <c:v>3</c:v>
                      </c:pt>
                      <c:pt idx="283">
                        <c:v>10</c:v>
                      </c:pt>
                      <c:pt idx="284">
                        <c:v>1</c:v>
                      </c:pt>
                      <c:pt idx="285">
                        <c:v>2</c:v>
                      </c:pt>
                      <c:pt idx="286">
                        <c:v>0</c:v>
                      </c:pt>
                      <c:pt idx="287">
                        <c:v>8</c:v>
                      </c:pt>
                      <c:pt idx="288">
                        <c:v>5</c:v>
                      </c:pt>
                      <c:pt idx="289">
                        <c:v>1</c:v>
                      </c:pt>
                      <c:pt idx="290">
                        <c:v>10</c:v>
                      </c:pt>
                      <c:pt idx="291">
                        <c:v>2</c:v>
                      </c:pt>
                      <c:pt idx="292">
                        <c:v>10</c:v>
                      </c:pt>
                      <c:pt idx="293">
                        <c:v>7</c:v>
                      </c:pt>
                      <c:pt idx="294">
                        <c:v>3</c:v>
                      </c:pt>
                      <c:pt idx="295">
                        <c:v>6</c:v>
                      </c:pt>
                      <c:pt idx="296">
                        <c:v>10</c:v>
                      </c:pt>
                      <c:pt idx="297">
                        <c:v>3</c:v>
                      </c:pt>
                      <c:pt idx="298">
                        <c:v>4</c:v>
                      </c:pt>
                      <c:pt idx="299">
                        <c:v>5</c:v>
                      </c:pt>
                      <c:pt idx="300">
                        <c:v>6</c:v>
                      </c:pt>
                      <c:pt idx="301">
                        <c:v>10</c:v>
                      </c:pt>
                      <c:pt idx="302">
                        <c:v>9</c:v>
                      </c:pt>
                      <c:pt idx="303">
                        <c:v>4</c:v>
                      </c:pt>
                      <c:pt idx="304">
                        <c:v>1</c:v>
                      </c:pt>
                      <c:pt idx="305">
                        <c:v>5</c:v>
                      </c:pt>
                      <c:pt idx="306">
                        <c:v>4</c:v>
                      </c:pt>
                      <c:pt idx="307">
                        <c:v>0</c:v>
                      </c:pt>
                      <c:pt idx="308">
                        <c:v>5</c:v>
                      </c:pt>
                      <c:pt idx="309">
                        <c:v>9</c:v>
                      </c:pt>
                      <c:pt idx="310">
                        <c:v>3</c:v>
                      </c:pt>
                      <c:pt idx="311">
                        <c:v>1</c:v>
                      </c:pt>
                      <c:pt idx="312">
                        <c:v>6</c:v>
                      </c:pt>
                      <c:pt idx="313">
                        <c:v>1</c:v>
                      </c:pt>
                      <c:pt idx="314">
                        <c:v>2</c:v>
                      </c:pt>
                      <c:pt idx="315">
                        <c:v>7</c:v>
                      </c:pt>
                      <c:pt idx="316">
                        <c:v>1</c:v>
                      </c:pt>
                      <c:pt idx="317">
                        <c:v>7</c:v>
                      </c:pt>
                      <c:pt idx="318">
                        <c:v>3</c:v>
                      </c:pt>
                      <c:pt idx="319">
                        <c:v>5</c:v>
                      </c:pt>
                      <c:pt idx="320">
                        <c:v>7</c:v>
                      </c:pt>
                      <c:pt idx="321">
                        <c:v>7</c:v>
                      </c:pt>
                      <c:pt idx="322">
                        <c:v>10</c:v>
                      </c:pt>
                      <c:pt idx="323">
                        <c:v>10</c:v>
                      </c:pt>
                      <c:pt idx="324">
                        <c:v>9</c:v>
                      </c:pt>
                      <c:pt idx="325">
                        <c:v>9</c:v>
                      </c:pt>
                      <c:pt idx="326">
                        <c:v>10</c:v>
                      </c:pt>
                      <c:pt idx="327">
                        <c:v>8</c:v>
                      </c:pt>
                      <c:pt idx="328">
                        <c:v>10</c:v>
                      </c:pt>
                      <c:pt idx="329">
                        <c:v>9</c:v>
                      </c:pt>
                      <c:pt idx="330">
                        <c:v>6</c:v>
                      </c:pt>
                      <c:pt idx="331">
                        <c:v>8</c:v>
                      </c:pt>
                      <c:pt idx="332">
                        <c:v>10</c:v>
                      </c:pt>
                      <c:pt idx="333">
                        <c:v>8</c:v>
                      </c:pt>
                      <c:pt idx="334">
                        <c:v>8</c:v>
                      </c:pt>
                      <c:pt idx="335">
                        <c:v>7</c:v>
                      </c:pt>
                      <c:pt idx="336">
                        <c:v>3</c:v>
                      </c:pt>
                      <c:pt idx="337">
                        <c:v>9</c:v>
                      </c:pt>
                      <c:pt idx="338">
                        <c:v>9</c:v>
                      </c:pt>
                      <c:pt idx="339">
                        <c:v>10</c:v>
                      </c:pt>
                      <c:pt idx="340">
                        <c:v>2</c:v>
                      </c:pt>
                      <c:pt idx="341">
                        <c:v>9</c:v>
                      </c:pt>
                      <c:pt idx="342">
                        <c:v>3</c:v>
                      </c:pt>
                      <c:pt idx="343">
                        <c:v>7</c:v>
                      </c:pt>
                      <c:pt idx="344">
                        <c:v>3</c:v>
                      </c:pt>
                      <c:pt idx="345">
                        <c:v>1</c:v>
                      </c:pt>
                      <c:pt idx="346">
                        <c:v>4</c:v>
                      </c:pt>
                      <c:pt idx="347">
                        <c:v>7</c:v>
                      </c:pt>
                      <c:pt idx="348">
                        <c:v>1</c:v>
                      </c:pt>
                      <c:pt idx="349">
                        <c:v>0</c:v>
                      </c:pt>
                      <c:pt idx="350">
                        <c:v>2</c:v>
                      </c:pt>
                      <c:pt idx="351">
                        <c:v>4</c:v>
                      </c:pt>
                      <c:pt idx="352">
                        <c:v>7</c:v>
                      </c:pt>
                      <c:pt idx="353">
                        <c:v>7</c:v>
                      </c:pt>
                      <c:pt idx="354">
                        <c:v>1</c:v>
                      </c:pt>
                      <c:pt idx="355">
                        <c:v>1</c:v>
                      </c:pt>
                      <c:pt idx="356">
                        <c:v>9</c:v>
                      </c:pt>
                      <c:pt idx="357">
                        <c:v>7</c:v>
                      </c:pt>
                      <c:pt idx="358">
                        <c:v>4</c:v>
                      </c:pt>
                      <c:pt idx="359">
                        <c:v>10</c:v>
                      </c:pt>
                      <c:pt idx="360">
                        <c:v>5</c:v>
                      </c:pt>
                      <c:pt idx="361">
                        <c:v>10</c:v>
                      </c:pt>
                      <c:pt idx="362">
                        <c:v>3</c:v>
                      </c:pt>
                      <c:pt idx="363">
                        <c:v>10</c:v>
                      </c:pt>
                      <c:pt idx="364">
                        <c:v>6</c:v>
                      </c:pt>
                      <c:pt idx="365">
                        <c:v>1</c:v>
                      </c:pt>
                      <c:pt idx="366">
                        <c:v>6</c:v>
                      </c:pt>
                      <c:pt idx="367">
                        <c:v>2</c:v>
                      </c:pt>
                      <c:pt idx="368">
                        <c:v>9</c:v>
                      </c:pt>
                      <c:pt idx="369">
                        <c:v>7</c:v>
                      </c:pt>
                      <c:pt idx="370">
                        <c:v>6</c:v>
                      </c:pt>
                      <c:pt idx="371">
                        <c:v>10</c:v>
                      </c:pt>
                      <c:pt idx="372">
                        <c:v>7</c:v>
                      </c:pt>
                      <c:pt idx="373">
                        <c:v>8</c:v>
                      </c:pt>
                      <c:pt idx="374">
                        <c:v>8</c:v>
                      </c:pt>
                      <c:pt idx="375">
                        <c:v>0</c:v>
                      </c:pt>
                      <c:pt idx="376">
                        <c:v>9</c:v>
                      </c:pt>
                      <c:pt idx="377">
                        <c:v>0</c:v>
                      </c:pt>
                      <c:pt idx="378">
                        <c:v>2</c:v>
                      </c:pt>
                      <c:pt idx="379">
                        <c:v>0</c:v>
                      </c:pt>
                      <c:pt idx="380">
                        <c:v>7</c:v>
                      </c:pt>
                      <c:pt idx="381">
                        <c:v>2</c:v>
                      </c:pt>
                      <c:pt idx="382">
                        <c:v>8</c:v>
                      </c:pt>
                      <c:pt idx="383">
                        <c:v>1</c:v>
                      </c:pt>
                      <c:pt idx="384">
                        <c:v>7</c:v>
                      </c:pt>
                      <c:pt idx="385">
                        <c:v>7</c:v>
                      </c:pt>
                      <c:pt idx="386">
                        <c:v>3</c:v>
                      </c:pt>
                      <c:pt idx="387">
                        <c:v>2</c:v>
                      </c:pt>
                      <c:pt idx="388">
                        <c:v>1</c:v>
                      </c:pt>
                      <c:pt idx="389">
                        <c:v>8</c:v>
                      </c:pt>
                      <c:pt idx="390">
                        <c:v>8</c:v>
                      </c:pt>
                      <c:pt idx="391">
                        <c:v>7</c:v>
                      </c:pt>
                      <c:pt idx="392">
                        <c:v>5</c:v>
                      </c:pt>
                      <c:pt idx="393">
                        <c:v>2</c:v>
                      </c:pt>
                      <c:pt idx="394">
                        <c:v>8</c:v>
                      </c:pt>
                      <c:pt idx="395">
                        <c:v>6</c:v>
                      </c:pt>
                      <c:pt idx="396">
                        <c:v>1</c:v>
                      </c:pt>
                      <c:pt idx="397">
                        <c:v>0</c:v>
                      </c:pt>
                      <c:pt idx="398">
                        <c:v>9</c:v>
                      </c:pt>
                      <c:pt idx="399">
                        <c:v>6</c:v>
                      </c:pt>
                      <c:pt idx="400">
                        <c:v>5</c:v>
                      </c:pt>
                      <c:pt idx="401">
                        <c:v>5</c:v>
                      </c:pt>
                      <c:pt idx="402">
                        <c:v>10</c:v>
                      </c:pt>
                      <c:pt idx="403">
                        <c:v>3</c:v>
                      </c:pt>
                      <c:pt idx="404">
                        <c:v>7</c:v>
                      </c:pt>
                      <c:pt idx="405">
                        <c:v>10</c:v>
                      </c:pt>
                      <c:pt idx="406">
                        <c:v>2</c:v>
                      </c:pt>
                      <c:pt idx="407">
                        <c:v>9</c:v>
                      </c:pt>
                      <c:pt idx="408">
                        <c:v>8</c:v>
                      </c:pt>
                      <c:pt idx="409">
                        <c:v>4</c:v>
                      </c:pt>
                      <c:pt idx="410">
                        <c:v>1</c:v>
                      </c:pt>
                      <c:pt idx="411">
                        <c:v>2</c:v>
                      </c:pt>
                      <c:pt idx="412">
                        <c:v>7</c:v>
                      </c:pt>
                      <c:pt idx="413">
                        <c:v>4</c:v>
                      </c:pt>
                      <c:pt idx="414">
                        <c:v>4</c:v>
                      </c:pt>
                      <c:pt idx="415">
                        <c:v>6</c:v>
                      </c:pt>
                      <c:pt idx="416">
                        <c:v>10</c:v>
                      </c:pt>
                      <c:pt idx="417">
                        <c:v>8</c:v>
                      </c:pt>
                      <c:pt idx="418">
                        <c:v>7</c:v>
                      </c:pt>
                      <c:pt idx="419">
                        <c:v>6</c:v>
                      </c:pt>
                      <c:pt idx="420">
                        <c:v>8</c:v>
                      </c:pt>
                      <c:pt idx="421">
                        <c:v>4</c:v>
                      </c:pt>
                      <c:pt idx="422">
                        <c:v>5</c:v>
                      </c:pt>
                      <c:pt idx="423">
                        <c:v>1</c:v>
                      </c:pt>
                      <c:pt idx="424">
                        <c:v>3</c:v>
                      </c:pt>
                      <c:pt idx="425">
                        <c:v>3</c:v>
                      </c:pt>
                      <c:pt idx="426">
                        <c:v>3</c:v>
                      </c:pt>
                      <c:pt idx="427">
                        <c:v>5</c:v>
                      </c:pt>
                      <c:pt idx="428">
                        <c:v>0</c:v>
                      </c:pt>
                      <c:pt idx="429">
                        <c:v>7</c:v>
                      </c:pt>
                      <c:pt idx="430">
                        <c:v>6</c:v>
                      </c:pt>
                      <c:pt idx="431">
                        <c:v>4</c:v>
                      </c:pt>
                      <c:pt idx="432">
                        <c:v>8</c:v>
                      </c:pt>
                      <c:pt idx="433">
                        <c:v>6</c:v>
                      </c:pt>
                      <c:pt idx="434">
                        <c:v>8</c:v>
                      </c:pt>
                      <c:pt idx="435">
                        <c:v>4</c:v>
                      </c:pt>
                      <c:pt idx="436">
                        <c:v>5</c:v>
                      </c:pt>
                      <c:pt idx="437">
                        <c:v>4</c:v>
                      </c:pt>
                      <c:pt idx="438">
                        <c:v>8</c:v>
                      </c:pt>
                      <c:pt idx="439">
                        <c:v>1</c:v>
                      </c:pt>
                      <c:pt idx="440">
                        <c:v>7</c:v>
                      </c:pt>
                      <c:pt idx="441">
                        <c:v>10</c:v>
                      </c:pt>
                      <c:pt idx="442">
                        <c:v>5</c:v>
                      </c:pt>
                      <c:pt idx="443">
                        <c:v>6</c:v>
                      </c:pt>
                      <c:pt idx="444">
                        <c:v>4</c:v>
                      </c:pt>
                      <c:pt idx="445">
                        <c:v>6</c:v>
                      </c:pt>
                      <c:pt idx="446">
                        <c:v>10</c:v>
                      </c:pt>
                      <c:pt idx="447">
                        <c:v>0</c:v>
                      </c:pt>
                      <c:pt idx="448">
                        <c:v>7</c:v>
                      </c:pt>
                      <c:pt idx="449">
                        <c:v>0</c:v>
                      </c:pt>
                      <c:pt idx="450">
                        <c:v>8</c:v>
                      </c:pt>
                      <c:pt idx="451">
                        <c:v>6</c:v>
                      </c:pt>
                      <c:pt idx="452">
                        <c:v>3</c:v>
                      </c:pt>
                      <c:pt idx="453">
                        <c:v>10</c:v>
                      </c:pt>
                      <c:pt idx="454">
                        <c:v>8</c:v>
                      </c:pt>
                      <c:pt idx="455">
                        <c:v>2</c:v>
                      </c:pt>
                      <c:pt idx="456">
                        <c:v>5</c:v>
                      </c:pt>
                      <c:pt idx="457">
                        <c:v>0</c:v>
                      </c:pt>
                      <c:pt idx="458">
                        <c:v>0</c:v>
                      </c:pt>
                      <c:pt idx="459">
                        <c:v>2</c:v>
                      </c:pt>
                      <c:pt idx="460">
                        <c:v>5</c:v>
                      </c:pt>
                      <c:pt idx="461">
                        <c:v>8</c:v>
                      </c:pt>
                      <c:pt idx="462">
                        <c:v>7</c:v>
                      </c:pt>
                      <c:pt idx="463">
                        <c:v>4</c:v>
                      </c:pt>
                      <c:pt idx="464">
                        <c:v>2</c:v>
                      </c:pt>
                      <c:pt idx="465">
                        <c:v>7</c:v>
                      </c:pt>
                      <c:pt idx="466">
                        <c:v>7</c:v>
                      </c:pt>
                      <c:pt idx="467">
                        <c:v>2</c:v>
                      </c:pt>
                      <c:pt idx="468">
                        <c:v>5</c:v>
                      </c:pt>
                      <c:pt idx="469">
                        <c:v>6</c:v>
                      </c:pt>
                      <c:pt idx="470">
                        <c:v>8</c:v>
                      </c:pt>
                      <c:pt idx="471">
                        <c:v>0</c:v>
                      </c:pt>
                      <c:pt idx="472">
                        <c:v>0</c:v>
                      </c:pt>
                      <c:pt idx="473">
                        <c:v>2</c:v>
                      </c:pt>
                      <c:pt idx="474">
                        <c:v>3</c:v>
                      </c:pt>
                      <c:pt idx="475">
                        <c:v>10</c:v>
                      </c:pt>
                      <c:pt idx="476">
                        <c:v>3</c:v>
                      </c:pt>
                      <c:pt idx="477">
                        <c:v>3</c:v>
                      </c:pt>
                      <c:pt idx="478">
                        <c:v>9</c:v>
                      </c:pt>
                      <c:pt idx="479">
                        <c:v>8</c:v>
                      </c:pt>
                      <c:pt idx="480">
                        <c:v>6</c:v>
                      </c:pt>
                      <c:pt idx="481">
                        <c:v>2</c:v>
                      </c:pt>
                      <c:pt idx="482">
                        <c:v>7</c:v>
                      </c:pt>
                      <c:pt idx="483">
                        <c:v>7</c:v>
                      </c:pt>
                      <c:pt idx="484">
                        <c:v>2</c:v>
                      </c:pt>
                      <c:pt idx="485">
                        <c:v>1</c:v>
                      </c:pt>
                      <c:pt idx="486">
                        <c:v>8</c:v>
                      </c:pt>
                      <c:pt idx="487">
                        <c:v>8</c:v>
                      </c:pt>
                      <c:pt idx="488">
                        <c:v>7</c:v>
                      </c:pt>
                      <c:pt idx="489">
                        <c:v>0</c:v>
                      </c:pt>
                      <c:pt idx="490">
                        <c:v>0</c:v>
                      </c:pt>
                      <c:pt idx="491">
                        <c:v>6</c:v>
                      </c:pt>
                      <c:pt idx="492">
                        <c:v>1</c:v>
                      </c:pt>
                      <c:pt idx="493">
                        <c:v>0</c:v>
                      </c:pt>
                      <c:pt idx="494">
                        <c:v>7</c:v>
                      </c:pt>
                      <c:pt idx="495">
                        <c:v>9</c:v>
                      </c:pt>
                      <c:pt idx="496">
                        <c:v>6</c:v>
                      </c:pt>
                      <c:pt idx="497">
                        <c:v>4</c:v>
                      </c:pt>
                      <c:pt idx="498">
                        <c:v>8</c:v>
                      </c:pt>
                      <c:pt idx="499">
                        <c:v>10</c:v>
                      </c:pt>
                    </c:numCache>
                  </c:numRef>
                </c:yVal>
                <c:smooth val="0"/>
                <c:extLst>
                  <c:ext xmlns:c16="http://schemas.microsoft.com/office/drawing/2014/chart" uri="{C3380CC4-5D6E-409C-BE32-E72D297353CC}">
                    <c16:uniqueId val="{00000004-CE13-4EBB-880A-F89C363E79D8}"/>
                  </c:ext>
                </c:extLst>
              </c15:ser>
            </c15:filteredScatterSeries>
            <c15:filteredScatterSeries>
              <c15:ser>
                <c:idx val="3"/>
                <c:order val="3"/>
                <c:tx>
                  <c:strRef>
                    <c:extLst>
                      <c:ext xmlns:c15="http://schemas.microsoft.com/office/drawing/2012/chart" uri="{02D57815-91ED-43cb-92C2-25804820EDAC}">
                        <c15:formulaRef>
                          <c15:sqref>User_data!$G$2</c15:sqref>
                        </c15:formulaRef>
                      </c:ext>
                    </c:extLst>
                    <c:strCache>
                      <c:ptCount val="1"/>
                      <c:pt idx="0">
                        <c:v>Saves</c:v>
                      </c:pt>
                    </c:strCache>
                  </c:strRef>
                </c:tx>
                <c:spPr>
                  <a:ln w="38100" cap="rnd">
                    <a:noFill/>
                    <a:round/>
                  </a:ln>
                  <a:effectLst/>
                </c:spPr>
                <c:marker>
                  <c:symbol val="circle"/>
                  <c:size val="5"/>
                  <c:spPr>
                    <a:solidFill>
                      <a:schemeClr val="accent4"/>
                    </a:solidFill>
                    <a:ln w="9525">
                      <a:solidFill>
                        <a:schemeClr val="accent4"/>
                      </a:solidFill>
                    </a:ln>
                    <a:effectLst/>
                  </c:spPr>
                </c:marker>
                <c:xVal>
                  <c:multiLvlStrRef>
                    <c:extLst>
                      <c:ext xmlns:c15="http://schemas.microsoft.com/office/drawing/2012/chart" uri="{02D57815-91ED-43cb-92C2-25804820EDAC}">
                        <c15:formulaRef>
                          <c15:sqref>User_data!$A$3:$C$502</c15:sqref>
                        </c15:formulaRef>
                      </c:ext>
                    </c:extLst>
                    <c:multiLvlStrCache>
                      <c:ptCount val="500"/>
                      <c:lvl>
                        <c:pt idx="0">
                          <c:v>Sports</c:v>
                        </c:pt>
                        <c:pt idx="1">
                          <c:v>Sports</c:v>
                        </c:pt>
                        <c:pt idx="2">
                          <c:v>Tech</c:v>
                        </c:pt>
                        <c:pt idx="3">
                          <c:v>Sports</c:v>
                        </c:pt>
                        <c:pt idx="4">
                          <c:v>Fashion</c:v>
                        </c:pt>
                        <c:pt idx="5">
                          <c:v>Sports</c:v>
                        </c:pt>
                        <c:pt idx="6">
                          <c:v>Tech</c:v>
                        </c:pt>
                        <c:pt idx="7">
                          <c:v>Food</c:v>
                        </c:pt>
                        <c:pt idx="8">
                          <c:v>Travel</c:v>
                        </c:pt>
                        <c:pt idx="9">
                          <c:v>Entertainment</c:v>
                        </c:pt>
                        <c:pt idx="10">
                          <c:v>Fashion</c:v>
                        </c:pt>
                        <c:pt idx="11">
                          <c:v>Travel</c:v>
                        </c:pt>
                        <c:pt idx="12">
                          <c:v>Sports</c:v>
                        </c:pt>
                        <c:pt idx="13">
                          <c:v>Sports</c:v>
                        </c:pt>
                        <c:pt idx="14">
                          <c:v>Fashion</c:v>
                        </c:pt>
                        <c:pt idx="15">
                          <c:v>Fashion</c:v>
                        </c:pt>
                        <c:pt idx="16">
                          <c:v>Tech</c:v>
                        </c:pt>
                        <c:pt idx="17">
                          <c:v>Entertainment</c:v>
                        </c:pt>
                        <c:pt idx="18">
                          <c:v>Tech</c:v>
                        </c:pt>
                        <c:pt idx="19">
                          <c:v>Travel</c:v>
                        </c:pt>
                        <c:pt idx="20">
                          <c:v>Entertainment</c:v>
                        </c:pt>
                        <c:pt idx="21">
                          <c:v>Tech</c:v>
                        </c:pt>
                        <c:pt idx="22">
                          <c:v>Sports</c:v>
                        </c:pt>
                        <c:pt idx="23">
                          <c:v>Travel</c:v>
                        </c:pt>
                        <c:pt idx="24">
                          <c:v>Tech</c:v>
                        </c:pt>
                        <c:pt idx="25">
                          <c:v>Fashion</c:v>
                        </c:pt>
                        <c:pt idx="26">
                          <c:v>Tech</c:v>
                        </c:pt>
                        <c:pt idx="27">
                          <c:v>Tech</c:v>
                        </c:pt>
                        <c:pt idx="28">
                          <c:v>Travel</c:v>
                        </c:pt>
                        <c:pt idx="29">
                          <c:v>Sports</c:v>
                        </c:pt>
                        <c:pt idx="30">
                          <c:v>Food</c:v>
                        </c:pt>
                        <c:pt idx="31">
                          <c:v>Tech</c:v>
                        </c:pt>
                        <c:pt idx="32">
                          <c:v>Food</c:v>
                        </c:pt>
                        <c:pt idx="33">
                          <c:v>Sports</c:v>
                        </c:pt>
                        <c:pt idx="34">
                          <c:v>Entertainment</c:v>
                        </c:pt>
                        <c:pt idx="35">
                          <c:v>Food</c:v>
                        </c:pt>
                        <c:pt idx="36">
                          <c:v>Food</c:v>
                        </c:pt>
                        <c:pt idx="37">
                          <c:v>Travel</c:v>
                        </c:pt>
                        <c:pt idx="38">
                          <c:v>Food</c:v>
                        </c:pt>
                        <c:pt idx="39">
                          <c:v>Food</c:v>
                        </c:pt>
                        <c:pt idx="40">
                          <c:v>Food</c:v>
                        </c:pt>
                        <c:pt idx="41">
                          <c:v>Food</c:v>
                        </c:pt>
                        <c:pt idx="42">
                          <c:v>Fashion</c:v>
                        </c:pt>
                        <c:pt idx="43">
                          <c:v>Sports</c:v>
                        </c:pt>
                        <c:pt idx="44">
                          <c:v>Fashion</c:v>
                        </c:pt>
                        <c:pt idx="45">
                          <c:v>Entertainment</c:v>
                        </c:pt>
                        <c:pt idx="46">
                          <c:v>Travel</c:v>
                        </c:pt>
                        <c:pt idx="47">
                          <c:v>Fashion</c:v>
                        </c:pt>
                        <c:pt idx="48">
                          <c:v>Fashion</c:v>
                        </c:pt>
                        <c:pt idx="49">
                          <c:v>Entertainment</c:v>
                        </c:pt>
                        <c:pt idx="50">
                          <c:v>Fashion</c:v>
                        </c:pt>
                        <c:pt idx="51">
                          <c:v>Fashion</c:v>
                        </c:pt>
                        <c:pt idx="52">
                          <c:v>Sports</c:v>
                        </c:pt>
                        <c:pt idx="53">
                          <c:v>Entertainment</c:v>
                        </c:pt>
                        <c:pt idx="54">
                          <c:v>Tech</c:v>
                        </c:pt>
                        <c:pt idx="55">
                          <c:v>Food</c:v>
                        </c:pt>
                        <c:pt idx="56">
                          <c:v>Entertainment</c:v>
                        </c:pt>
                        <c:pt idx="57">
                          <c:v>Tech</c:v>
                        </c:pt>
                        <c:pt idx="58">
                          <c:v>Tech</c:v>
                        </c:pt>
                        <c:pt idx="59">
                          <c:v>Travel</c:v>
                        </c:pt>
                        <c:pt idx="60">
                          <c:v>Food</c:v>
                        </c:pt>
                        <c:pt idx="61">
                          <c:v>Sports</c:v>
                        </c:pt>
                        <c:pt idx="62">
                          <c:v>Travel</c:v>
                        </c:pt>
                        <c:pt idx="63">
                          <c:v>Fashion</c:v>
                        </c:pt>
                        <c:pt idx="64">
                          <c:v>Sports</c:v>
                        </c:pt>
                        <c:pt idx="65">
                          <c:v>Food</c:v>
                        </c:pt>
                        <c:pt idx="66">
                          <c:v>Food</c:v>
                        </c:pt>
                        <c:pt idx="67">
                          <c:v>Tech</c:v>
                        </c:pt>
                        <c:pt idx="68">
                          <c:v>Travel</c:v>
                        </c:pt>
                        <c:pt idx="69">
                          <c:v>Food</c:v>
                        </c:pt>
                        <c:pt idx="70">
                          <c:v>Sports</c:v>
                        </c:pt>
                        <c:pt idx="71">
                          <c:v>Entertainment</c:v>
                        </c:pt>
                        <c:pt idx="72">
                          <c:v>Entertainment</c:v>
                        </c:pt>
                        <c:pt idx="73">
                          <c:v>Entertainment</c:v>
                        </c:pt>
                        <c:pt idx="74">
                          <c:v>Fashion</c:v>
                        </c:pt>
                        <c:pt idx="75">
                          <c:v>Tech</c:v>
                        </c:pt>
                        <c:pt idx="76">
                          <c:v>Travel</c:v>
                        </c:pt>
                        <c:pt idx="77">
                          <c:v>Travel</c:v>
                        </c:pt>
                        <c:pt idx="78">
                          <c:v>Sports</c:v>
                        </c:pt>
                        <c:pt idx="79">
                          <c:v>Food</c:v>
                        </c:pt>
                        <c:pt idx="80">
                          <c:v>Entertainment</c:v>
                        </c:pt>
                        <c:pt idx="81">
                          <c:v>Fashion</c:v>
                        </c:pt>
                        <c:pt idx="82">
                          <c:v>Sports</c:v>
                        </c:pt>
                        <c:pt idx="83">
                          <c:v>Fashion</c:v>
                        </c:pt>
                        <c:pt idx="84">
                          <c:v>Travel</c:v>
                        </c:pt>
                        <c:pt idx="85">
                          <c:v>Tech</c:v>
                        </c:pt>
                        <c:pt idx="86">
                          <c:v>Food</c:v>
                        </c:pt>
                        <c:pt idx="87">
                          <c:v>Tech</c:v>
                        </c:pt>
                        <c:pt idx="88">
                          <c:v>Travel</c:v>
                        </c:pt>
                        <c:pt idx="89">
                          <c:v>Entertainment</c:v>
                        </c:pt>
                        <c:pt idx="90">
                          <c:v>Entertainment</c:v>
                        </c:pt>
                        <c:pt idx="91">
                          <c:v>Travel</c:v>
                        </c:pt>
                        <c:pt idx="92">
                          <c:v>Sports</c:v>
                        </c:pt>
                        <c:pt idx="93">
                          <c:v>Food</c:v>
                        </c:pt>
                        <c:pt idx="94">
                          <c:v>Sports</c:v>
                        </c:pt>
                        <c:pt idx="95">
                          <c:v>Travel</c:v>
                        </c:pt>
                        <c:pt idx="96">
                          <c:v>Food</c:v>
                        </c:pt>
                        <c:pt idx="97">
                          <c:v>Travel</c:v>
                        </c:pt>
                        <c:pt idx="98">
                          <c:v>Sports</c:v>
                        </c:pt>
                        <c:pt idx="99">
                          <c:v>Food</c:v>
                        </c:pt>
                        <c:pt idx="100">
                          <c:v>Entertainment</c:v>
                        </c:pt>
                        <c:pt idx="101">
                          <c:v>Fashion</c:v>
                        </c:pt>
                        <c:pt idx="102">
                          <c:v>Food</c:v>
                        </c:pt>
                        <c:pt idx="103">
                          <c:v>Food</c:v>
                        </c:pt>
                        <c:pt idx="104">
                          <c:v>Travel</c:v>
                        </c:pt>
                        <c:pt idx="105">
                          <c:v>Travel</c:v>
                        </c:pt>
                        <c:pt idx="106">
                          <c:v>Food</c:v>
                        </c:pt>
                        <c:pt idx="107">
                          <c:v>Sports</c:v>
                        </c:pt>
                        <c:pt idx="108">
                          <c:v>Travel</c:v>
                        </c:pt>
                        <c:pt idx="109">
                          <c:v>Entertainment</c:v>
                        </c:pt>
                        <c:pt idx="110">
                          <c:v>Sports</c:v>
                        </c:pt>
                        <c:pt idx="111">
                          <c:v>Entertainment</c:v>
                        </c:pt>
                        <c:pt idx="112">
                          <c:v>Food</c:v>
                        </c:pt>
                        <c:pt idx="113">
                          <c:v>Fashion</c:v>
                        </c:pt>
                        <c:pt idx="114">
                          <c:v>Food</c:v>
                        </c:pt>
                        <c:pt idx="115">
                          <c:v>Travel</c:v>
                        </c:pt>
                        <c:pt idx="116">
                          <c:v>Food</c:v>
                        </c:pt>
                        <c:pt idx="117">
                          <c:v>Tech</c:v>
                        </c:pt>
                        <c:pt idx="118">
                          <c:v>Entertainment</c:v>
                        </c:pt>
                        <c:pt idx="119">
                          <c:v>Fashion</c:v>
                        </c:pt>
                        <c:pt idx="120">
                          <c:v>Food</c:v>
                        </c:pt>
                        <c:pt idx="121">
                          <c:v>Travel</c:v>
                        </c:pt>
                        <c:pt idx="122">
                          <c:v>Fashion</c:v>
                        </c:pt>
                        <c:pt idx="123">
                          <c:v>Travel</c:v>
                        </c:pt>
                        <c:pt idx="124">
                          <c:v>Fashion</c:v>
                        </c:pt>
                        <c:pt idx="125">
                          <c:v>Sports</c:v>
                        </c:pt>
                        <c:pt idx="126">
                          <c:v>Sports</c:v>
                        </c:pt>
                        <c:pt idx="127">
                          <c:v>Sports</c:v>
                        </c:pt>
                        <c:pt idx="128">
                          <c:v>Tech</c:v>
                        </c:pt>
                        <c:pt idx="129">
                          <c:v>Sports</c:v>
                        </c:pt>
                        <c:pt idx="130">
                          <c:v>Entertainment</c:v>
                        </c:pt>
                        <c:pt idx="131">
                          <c:v>Entertainment</c:v>
                        </c:pt>
                        <c:pt idx="132">
                          <c:v>Food</c:v>
                        </c:pt>
                        <c:pt idx="133">
                          <c:v>Entertainment</c:v>
                        </c:pt>
                        <c:pt idx="134">
                          <c:v>Entertainment</c:v>
                        </c:pt>
                        <c:pt idx="135">
                          <c:v>Food</c:v>
                        </c:pt>
                        <c:pt idx="136">
                          <c:v>Sports</c:v>
                        </c:pt>
                        <c:pt idx="137">
                          <c:v>Tech</c:v>
                        </c:pt>
                        <c:pt idx="138">
                          <c:v>Food</c:v>
                        </c:pt>
                        <c:pt idx="139">
                          <c:v>Fashion</c:v>
                        </c:pt>
                        <c:pt idx="140">
                          <c:v>Sports</c:v>
                        </c:pt>
                        <c:pt idx="141">
                          <c:v>Entertainment</c:v>
                        </c:pt>
                        <c:pt idx="142">
                          <c:v>Tech</c:v>
                        </c:pt>
                        <c:pt idx="143">
                          <c:v>Food</c:v>
                        </c:pt>
                        <c:pt idx="144">
                          <c:v>Fashion</c:v>
                        </c:pt>
                        <c:pt idx="145">
                          <c:v>Entertainment</c:v>
                        </c:pt>
                        <c:pt idx="146">
                          <c:v>Fashion</c:v>
                        </c:pt>
                        <c:pt idx="147">
                          <c:v>Sports</c:v>
                        </c:pt>
                        <c:pt idx="148">
                          <c:v>Entertainment</c:v>
                        </c:pt>
                        <c:pt idx="149">
                          <c:v>Tech</c:v>
                        </c:pt>
                        <c:pt idx="150">
                          <c:v>Tech</c:v>
                        </c:pt>
                        <c:pt idx="151">
                          <c:v>Travel</c:v>
                        </c:pt>
                        <c:pt idx="152">
                          <c:v>Travel</c:v>
                        </c:pt>
                        <c:pt idx="153">
                          <c:v>Tech</c:v>
                        </c:pt>
                        <c:pt idx="154">
                          <c:v>Tech</c:v>
                        </c:pt>
                        <c:pt idx="155">
                          <c:v>Tech</c:v>
                        </c:pt>
                        <c:pt idx="156">
                          <c:v>Entertainment</c:v>
                        </c:pt>
                        <c:pt idx="157">
                          <c:v>Food</c:v>
                        </c:pt>
                        <c:pt idx="158">
                          <c:v>Sports</c:v>
                        </c:pt>
                        <c:pt idx="159">
                          <c:v>Sports</c:v>
                        </c:pt>
                        <c:pt idx="160">
                          <c:v>Entertainment</c:v>
                        </c:pt>
                        <c:pt idx="161">
                          <c:v>Entertainment</c:v>
                        </c:pt>
                        <c:pt idx="162">
                          <c:v>Entertainment</c:v>
                        </c:pt>
                        <c:pt idx="163">
                          <c:v>Fashion</c:v>
                        </c:pt>
                        <c:pt idx="164">
                          <c:v>Fashion</c:v>
                        </c:pt>
                        <c:pt idx="165">
                          <c:v>Food</c:v>
                        </c:pt>
                        <c:pt idx="166">
                          <c:v>Sports</c:v>
                        </c:pt>
                        <c:pt idx="167">
                          <c:v>Travel</c:v>
                        </c:pt>
                        <c:pt idx="168">
                          <c:v>Fashion</c:v>
                        </c:pt>
                        <c:pt idx="169">
                          <c:v>Fashion</c:v>
                        </c:pt>
                        <c:pt idx="170">
                          <c:v>Fashion</c:v>
                        </c:pt>
                        <c:pt idx="171">
                          <c:v>Tech</c:v>
                        </c:pt>
                        <c:pt idx="172">
                          <c:v>Tech</c:v>
                        </c:pt>
                        <c:pt idx="173">
                          <c:v>Entertainment</c:v>
                        </c:pt>
                        <c:pt idx="174">
                          <c:v>Entertainment</c:v>
                        </c:pt>
                        <c:pt idx="175">
                          <c:v>Food</c:v>
                        </c:pt>
                        <c:pt idx="176">
                          <c:v>Food</c:v>
                        </c:pt>
                        <c:pt idx="177">
                          <c:v>Food</c:v>
                        </c:pt>
                        <c:pt idx="178">
                          <c:v>Fashion</c:v>
                        </c:pt>
                        <c:pt idx="179">
                          <c:v>Sports</c:v>
                        </c:pt>
                        <c:pt idx="180">
                          <c:v>Food</c:v>
                        </c:pt>
                        <c:pt idx="181">
                          <c:v>Travel</c:v>
                        </c:pt>
                        <c:pt idx="182">
                          <c:v>Fashion</c:v>
                        </c:pt>
                        <c:pt idx="183">
                          <c:v>Entertainment</c:v>
                        </c:pt>
                        <c:pt idx="184">
                          <c:v>Travel</c:v>
                        </c:pt>
                        <c:pt idx="185">
                          <c:v>Entertainment</c:v>
                        </c:pt>
                        <c:pt idx="186">
                          <c:v>Fashion</c:v>
                        </c:pt>
                        <c:pt idx="187">
                          <c:v>Fashion</c:v>
                        </c:pt>
                        <c:pt idx="188">
                          <c:v>Travel</c:v>
                        </c:pt>
                        <c:pt idx="189">
                          <c:v>Entertainment</c:v>
                        </c:pt>
                        <c:pt idx="190">
                          <c:v>Entertainment</c:v>
                        </c:pt>
                        <c:pt idx="191">
                          <c:v>Fashion</c:v>
                        </c:pt>
                        <c:pt idx="192">
                          <c:v>Sports</c:v>
                        </c:pt>
                        <c:pt idx="193">
                          <c:v>Entertainment</c:v>
                        </c:pt>
                        <c:pt idx="194">
                          <c:v>Tech</c:v>
                        </c:pt>
                        <c:pt idx="195">
                          <c:v>Entertainment</c:v>
                        </c:pt>
                        <c:pt idx="196">
                          <c:v>Tech</c:v>
                        </c:pt>
                        <c:pt idx="197">
                          <c:v>Food</c:v>
                        </c:pt>
                        <c:pt idx="198">
                          <c:v>Food</c:v>
                        </c:pt>
                        <c:pt idx="199">
                          <c:v>Tech</c:v>
                        </c:pt>
                        <c:pt idx="200">
                          <c:v>Entertainment</c:v>
                        </c:pt>
                        <c:pt idx="201">
                          <c:v>Fashion</c:v>
                        </c:pt>
                        <c:pt idx="202">
                          <c:v>Food</c:v>
                        </c:pt>
                        <c:pt idx="203">
                          <c:v>Tech</c:v>
                        </c:pt>
                        <c:pt idx="204">
                          <c:v>Fashion</c:v>
                        </c:pt>
                        <c:pt idx="205">
                          <c:v>Entertainment</c:v>
                        </c:pt>
                        <c:pt idx="206">
                          <c:v>Travel</c:v>
                        </c:pt>
                        <c:pt idx="207">
                          <c:v>Entertainment</c:v>
                        </c:pt>
                        <c:pt idx="208">
                          <c:v>Fashion</c:v>
                        </c:pt>
                        <c:pt idx="209">
                          <c:v>Sports</c:v>
                        </c:pt>
                        <c:pt idx="210">
                          <c:v>Fashion</c:v>
                        </c:pt>
                        <c:pt idx="211">
                          <c:v>Fashion</c:v>
                        </c:pt>
                        <c:pt idx="212">
                          <c:v>Fashion</c:v>
                        </c:pt>
                        <c:pt idx="213">
                          <c:v>Food</c:v>
                        </c:pt>
                        <c:pt idx="214">
                          <c:v>Sports</c:v>
                        </c:pt>
                        <c:pt idx="215">
                          <c:v>Tech</c:v>
                        </c:pt>
                        <c:pt idx="216">
                          <c:v>Food</c:v>
                        </c:pt>
                        <c:pt idx="217">
                          <c:v>Sports</c:v>
                        </c:pt>
                        <c:pt idx="218">
                          <c:v>Sports</c:v>
                        </c:pt>
                        <c:pt idx="219">
                          <c:v>Fashion</c:v>
                        </c:pt>
                        <c:pt idx="220">
                          <c:v>Food</c:v>
                        </c:pt>
                        <c:pt idx="221">
                          <c:v>Entertainment</c:v>
                        </c:pt>
                        <c:pt idx="222">
                          <c:v>Sports</c:v>
                        </c:pt>
                        <c:pt idx="223">
                          <c:v>Tech</c:v>
                        </c:pt>
                        <c:pt idx="224">
                          <c:v>Tech</c:v>
                        </c:pt>
                        <c:pt idx="225">
                          <c:v>Entertainment</c:v>
                        </c:pt>
                        <c:pt idx="226">
                          <c:v>Tech</c:v>
                        </c:pt>
                        <c:pt idx="227">
                          <c:v>Travel</c:v>
                        </c:pt>
                        <c:pt idx="228">
                          <c:v>Sports</c:v>
                        </c:pt>
                        <c:pt idx="229">
                          <c:v>Entertainment</c:v>
                        </c:pt>
                        <c:pt idx="230">
                          <c:v>Fashion</c:v>
                        </c:pt>
                        <c:pt idx="231">
                          <c:v>Fashion</c:v>
                        </c:pt>
                        <c:pt idx="232">
                          <c:v>Fashion</c:v>
                        </c:pt>
                        <c:pt idx="233">
                          <c:v>Sports</c:v>
                        </c:pt>
                        <c:pt idx="234">
                          <c:v>Entertainment</c:v>
                        </c:pt>
                        <c:pt idx="235">
                          <c:v>Food</c:v>
                        </c:pt>
                        <c:pt idx="236">
                          <c:v>Entertainment</c:v>
                        </c:pt>
                        <c:pt idx="237">
                          <c:v>Food</c:v>
                        </c:pt>
                        <c:pt idx="238">
                          <c:v>Tech</c:v>
                        </c:pt>
                        <c:pt idx="239">
                          <c:v>Food</c:v>
                        </c:pt>
                        <c:pt idx="240">
                          <c:v>Tech</c:v>
                        </c:pt>
                        <c:pt idx="241">
                          <c:v>Fashion</c:v>
                        </c:pt>
                        <c:pt idx="242">
                          <c:v>Fashion</c:v>
                        </c:pt>
                        <c:pt idx="243">
                          <c:v>Tech</c:v>
                        </c:pt>
                        <c:pt idx="244">
                          <c:v>Sports</c:v>
                        </c:pt>
                        <c:pt idx="245">
                          <c:v>Sports</c:v>
                        </c:pt>
                        <c:pt idx="246">
                          <c:v>Tech</c:v>
                        </c:pt>
                        <c:pt idx="247">
                          <c:v>Fashion</c:v>
                        </c:pt>
                        <c:pt idx="248">
                          <c:v>Sports</c:v>
                        </c:pt>
                        <c:pt idx="249">
                          <c:v>Travel</c:v>
                        </c:pt>
                        <c:pt idx="250">
                          <c:v>Fashion</c:v>
                        </c:pt>
                        <c:pt idx="251">
                          <c:v>Food</c:v>
                        </c:pt>
                        <c:pt idx="252">
                          <c:v>Sports</c:v>
                        </c:pt>
                        <c:pt idx="253">
                          <c:v>Sports</c:v>
                        </c:pt>
                        <c:pt idx="254">
                          <c:v>Fashion</c:v>
                        </c:pt>
                        <c:pt idx="255">
                          <c:v>Food</c:v>
                        </c:pt>
                        <c:pt idx="256">
                          <c:v>Travel</c:v>
                        </c:pt>
                        <c:pt idx="257">
                          <c:v>Travel</c:v>
                        </c:pt>
                        <c:pt idx="258">
                          <c:v>Sports</c:v>
                        </c:pt>
                        <c:pt idx="259">
                          <c:v>Food</c:v>
                        </c:pt>
                        <c:pt idx="260">
                          <c:v>Travel</c:v>
                        </c:pt>
                        <c:pt idx="261">
                          <c:v>Food</c:v>
                        </c:pt>
                        <c:pt idx="262">
                          <c:v>Sports</c:v>
                        </c:pt>
                        <c:pt idx="263">
                          <c:v>Food</c:v>
                        </c:pt>
                        <c:pt idx="264">
                          <c:v>Travel</c:v>
                        </c:pt>
                        <c:pt idx="265">
                          <c:v>Tech</c:v>
                        </c:pt>
                        <c:pt idx="266">
                          <c:v>Fashion</c:v>
                        </c:pt>
                        <c:pt idx="267">
                          <c:v>Food</c:v>
                        </c:pt>
                        <c:pt idx="268">
                          <c:v>Sports</c:v>
                        </c:pt>
                        <c:pt idx="269">
                          <c:v>Sports</c:v>
                        </c:pt>
                        <c:pt idx="270">
                          <c:v>Tech</c:v>
                        </c:pt>
                        <c:pt idx="271">
                          <c:v>Fashion</c:v>
                        </c:pt>
                        <c:pt idx="272">
                          <c:v>Tech</c:v>
                        </c:pt>
                        <c:pt idx="273">
                          <c:v>Tech</c:v>
                        </c:pt>
                        <c:pt idx="274">
                          <c:v>Food</c:v>
                        </c:pt>
                        <c:pt idx="275">
                          <c:v>Travel</c:v>
                        </c:pt>
                        <c:pt idx="276">
                          <c:v>Travel</c:v>
                        </c:pt>
                        <c:pt idx="277">
                          <c:v>Sports</c:v>
                        </c:pt>
                        <c:pt idx="278">
                          <c:v>Sports</c:v>
                        </c:pt>
                        <c:pt idx="279">
                          <c:v>Travel</c:v>
                        </c:pt>
                        <c:pt idx="280">
                          <c:v>Food</c:v>
                        </c:pt>
                        <c:pt idx="281">
                          <c:v>Sports</c:v>
                        </c:pt>
                        <c:pt idx="282">
                          <c:v>Sports</c:v>
                        </c:pt>
                        <c:pt idx="283">
                          <c:v>Food</c:v>
                        </c:pt>
                        <c:pt idx="284">
                          <c:v>Fashion</c:v>
                        </c:pt>
                        <c:pt idx="285">
                          <c:v>Fashion</c:v>
                        </c:pt>
                        <c:pt idx="286">
                          <c:v>Travel</c:v>
                        </c:pt>
                        <c:pt idx="287">
                          <c:v>Food</c:v>
                        </c:pt>
                        <c:pt idx="288">
                          <c:v>Tech</c:v>
                        </c:pt>
                        <c:pt idx="289">
                          <c:v>Tech</c:v>
                        </c:pt>
                        <c:pt idx="290">
                          <c:v>Food</c:v>
                        </c:pt>
                        <c:pt idx="291">
                          <c:v>Fashion</c:v>
                        </c:pt>
                        <c:pt idx="292">
                          <c:v>Travel</c:v>
                        </c:pt>
                        <c:pt idx="293">
                          <c:v>Entertainment</c:v>
                        </c:pt>
                        <c:pt idx="294">
                          <c:v>Fashion</c:v>
                        </c:pt>
                        <c:pt idx="295">
                          <c:v>Fashion</c:v>
                        </c:pt>
                        <c:pt idx="296">
                          <c:v>Sports</c:v>
                        </c:pt>
                        <c:pt idx="297">
                          <c:v>Fashion</c:v>
                        </c:pt>
                        <c:pt idx="298">
                          <c:v>Travel</c:v>
                        </c:pt>
                        <c:pt idx="299">
                          <c:v>Fashion</c:v>
                        </c:pt>
                        <c:pt idx="300">
                          <c:v>Tech</c:v>
                        </c:pt>
                        <c:pt idx="301">
                          <c:v>Food</c:v>
                        </c:pt>
                        <c:pt idx="302">
                          <c:v>Travel</c:v>
                        </c:pt>
                        <c:pt idx="303">
                          <c:v>Food</c:v>
                        </c:pt>
                        <c:pt idx="304">
                          <c:v>Entertainment</c:v>
                        </c:pt>
                        <c:pt idx="305">
                          <c:v>Sports</c:v>
                        </c:pt>
                        <c:pt idx="306">
                          <c:v>Sports</c:v>
                        </c:pt>
                        <c:pt idx="307">
                          <c:v>Travel</c:v>
                        </c:pt>
                        <c:pt idx="308">
                          <c:v>Travel</c:v>
                        </c:pt>
                        <c:pt idx="309">
                          <c:v>Tech</c:v>
                        </c:pt>
                        <c:pt idx="310">
                          <c:v>Sports</c:v>
                        </c:pt>
                        <c:pt idx="311">
                          <c:v>Tech</c:v>
                        </c:pt>
                        <c:pt idx="312">
                          <c:v>Sports</c:v>
                        </c:pt>
                        <c:pt idx="313">
                          <c:v>Fashion</c:v>
                        </c:pt>
                        <c:pt idx="314">
                          <c:v>Sports</c:v>
                        </c:pt>
                        <c:pt idx="315">
                          <c:v>Tech</c:v>
                        </c:pt>
                        <c:pt idx="316">
                          <c:v>Entertainment</c:v>
                        </c:pt>
                        <c:pt idx="317">
                          <c:v>Food</c:v>
                        </c:pt>
                        <c:pt idx="318">
                          <c:v>Entertainment</c:v>
                        </c:pt>
                        <c:pt idx="319">
                          <c:v>Travel</c:v>
                        </c:pt>
                        <c:pt idx="320">
                          <c:v>Entertainment</c:v>
                        </c:pt>
                        <c:pt idx="321">
                          <c:v>Travel</c:v>
                        </c:pt>
                        <c:pt idx="322">
                          <c:v>Entertainment</c:v>
                        </c:pt>
                        <c:pt idx="323">
                          <c:v>Travel</c:v>
                        </c:pt>
                        <c:pt idx="324">
                          <c:v>Entertainment</c:v>
                        </c:pt>
                        <c:pt idx="325">
                          <c:v>Sports</c:v>
                        </c:pt>
                        <c:pt idx="326">
                          <c:v>Tech</c:v>
                        </c:pt>
                        <c:pt idx="327">
                          <c:v>Tech</c:v>
                        </c:pt>
                        <c:pt idx="328">
                          <c:v>Travel</c:v>
                        </c:pt>
                        <c:pt idx="329">
                          <c:v>Sports</c:v>
                        </c:pt>
                        <c:pt idx="330">
                          <c:v>Travel</c:v>
                        </c:pt>
                        <c:pt idx="331">
                          <c:v>Fashion</c:v>
                        </c:pt>
                        <c:pt idx="332">
                          <c:v>Food</c:v>
                        </c:pt>
                        <c:pt idx="333">
                          <c:v>Sports</c:v>
                        </c:pt>
                        <c:pt idx="334">
                          <c:v>Tech</c:v>
                        </c:pt>
                        <c:pt idx="335">
                          <c:v>Travel</c:v>
                        </c:pt>
                        <c:pt idx="336">
                          <c:v>Food</c:v>
                        </c:pt>
                        <c:pt idx="337">
                          <c:v>Sports</c:v>
                        </c:pt>
                        <c:pt idx="338">
                          <c:v>Travel</c:v>
                        </c:pt>
                        <c:pt idx="339">
                          <c:v>Entertainment</c:v>
                        </c:pt>
                        <c:pt idx="340">
                          <c:v>Sports</c:v>
                        </c:pt>
                        <c:pt idx="341">
                          <c:v>Travel</c:v>
                        </c:pt>
                        <c:pt idx="342">
                          <c:v>Food</c:v>
                        </c:pt>
                        <c:pt idx="343">
                          <c:v>Food</c:v>
                        </c:pt>
                        <c:pt idx="344">
                          <c:v>Food</c:v>
                        </c:pt>
                        <c:pt idx="345">
                          <c:v>Food</c:v>
                        </c:pt>
                        <c:pt idx="346">
                          <c:v>Sports</c:v>
                        </c:pt>
                        <c:pt idx="347">
                          <c:v>Food</c:v>
                        </c:pt>
                        <c:pt idx="348">
                          <c:v>Tech</c:v>
                        </c:pt>
                        <c:pt idx="349">
                          <c:v>Tech</c:v>
                        </c:pt>
                        <c:pt idx="350">
                          <c:v>Fashion</c:v>
                        </c:pt>
                        <c:pt idx="351">
                          <c:v>Travel</c:v>
                        </c:pt>
                        <c:pt idx="352">
                          <c:v>Fashion</c:v>
                        </c:pt>
                        <c:pt idx="353">
                          <c:v>Travel</c:v>
                        </c:pt>
                        <c:pt idx="354">
                          <c:v>Tech</c:v>
                        </c:pt>
                        <c:pt idx="355">
                          <c:v>Travel</c:v>
                        </c:pt>
                        <c:pt idx="356">
                          <c:v>Sports</c:v>
                        </c:pt>
                        <c:pt idx="357">
                          <c:v>Fashion</c:v>
                        </c:pt>
                        <c:pt idx="358">
                          <c:v>Sports</c:v>
                        </c:pt>
                        <c:pt idx="359">
                          <c:v>Sports</c:v>
                        </c:pt>
                        <c:pt idx="360">
                          <c:v>Tech</c:v>
                        </c:pt>
                        <c:pt idx="361">
                          <c:v>Travel</c:v>
                        </c:pt>
                        <c:pt idx="362">
                          <c:v>Sports</c:v>
                        </c:pt>
                        <c:pt idx="363">
                          <c:v>Sports</c:v>
                        </c:pt>
                        <c:pt idx="364">
                          <c:v>Food</c:v>
                        </c:pt>
                        <c:pt idx="365">
                          <c:v>Tech</c:v>
                        </c:pt>
                        <c:pt idx="366">
                          <c:v>Entertainment</c:v>
                        </c:pt>
                        <c:pt idx="367">
                          <c:v>Sports</c:v>
                        </c:pt>
                        <c:pt idx="368">
                          <c:v>Travel</c:v>
                        </c:pt>
                        <c:pt idx="369">
                          <c:v>Sports</c:v>
                        </c:pt>
                        <c:pt idx="370">
                          <c:v>Tech</c:v>
                        </c:pt>
                        <c:pt idx="371">
                          <c:v>Fashion</c:v>
                        </c:pt>
                        <c:pt idx="372">
                          <c:v>Tech</c:v>
                        </c:pt>
                        <c:pt idx="373">
                          <c:v>Food</c:v>
                        </c:pt>
                        <c:pt idx="374">
                          <c:v>Travel</c:v>
                        </c:pt>
                        <c:pt idx="375">
                          <c:v>Fashion</c:v>
                        </c:pt>
                        <c:pt idx="376">
                          <c:v>Travel</c:v>
                        </c:pt>
                        <c:pt idx="377">
                          <c:v>Food</c:v>
                        </c:pt>
                        <c:pt idx="378">
                          <c:v>Entertainment</c:v>
                        </c:pt>
                        <c:pt idx="379">
                          <c:v>Entertainment</c:v>
                        </c:pt>
                        <c:pt idx="380">
                          <c:v>Food</c:v>
                        </c:pt>
                        <c:pt idx="381">
                          <c:v>Fashion</c:v>
                        </c:pt>
                        <c:pt idx="382">
                          <c:v>Travel</c:v>
                        </c:pt>
                        <c:pt idx="383">
                          <c:v>Fashion</c:v>
                        </c:pt>
                        <c:pt idx="384">
                          <c:v>Sports</c:v>
                        </c:pt>
                        <c:pt idx="385">
                          <c:v>Fashion</c:v>
                        </c:pt>
                        <c:pt idx="386">
                          <c:v>Food</c:v>
                        </c:pt>
                        <c:pt idx="387">
                          <c:v>Travel</c:v>
                        </c:pt>
                        <c:pt idx="388">
                          <c:v>Sports</c:v>
                        </c:pt>
                        <c:pt idx="389">
                          <c:v>Food</c:v>
                        </c:pt>
                        <c:pt idx="390">
                          <c:v>Food</c:v>
                        </c:pt>
                        <c:pt idx="391">
                          <c:v>Tech</c:v>
                        </c:pt>
                        <c:pt idx="392">
                          <c:v>Travel</c:v>
                        </c:pt>
                        <c:pt idx="393">
                          <c:v>Tech</c:v>
                        </c:pt>
                        <c:pt idx="394">
                          <c:v>Fashion</c:v>
                        </c:pt>
                        <c:pt idx="395">
                          <c:v>Fashion</c:v>
                        </c:pt>
                        <c:pt idx="396">
                          <c:v>Sports</c:v>
                        </c:pt>
                        <c:pt idx="397">
                          <c:v>Fashion</c:v>
                        </c:pt>
                        <c:pt idx="398">
                          <c:v>Tech</c:v>
                        </c:pt>
                        <c:pt idx="399">
                          <c:v>Fashion</c:v>
                        </c:pt>
                        <c:pt idx="400">
                          <c:v>Food</c:v>
                        </c:pt>
                        <c:pt idx="401">
                          <c:v>Entertainment</c:v>
                        </c:pt>
                        <c:pt idx="402">
                          <c:v>Food</c:v>
                        </c:pt>
                        <c:pt idx="403">
                          <c:v>Tech</c:v>
                        </c:pt>
                        <c:pt idx="404">
                          <c:v>Travel</c:v>
                        </c:pt>
                        <c:pt idx="405">
                          <c:v>Sports</c:v>
                        </c:pt>
                        <c:pt idx="406">
                          <c:v>Food</c:v>
                        </c:pt>
                        <c:pt idx="407">
                          <c:v>Food</c:v>
                        </c:pt>
                        <c:pt idx="408">
                          <c:v>Travel</c:v>
                        </c:pt>
                        <c:pt idx="409">
                          <c:v>Food</c:v>
                        </c:pt>
                        <c:pt idx="410">
                          <c:v>Food</c:v>
                        </c:pt>
                        <c:pt idx="411">
                          <c:v>Food</c:v>
                        </c:pt>
                        <c:pt idx="412">
                          <c:v>Entertainment</c:v>
                        </c:pt>
                        <c:pt idx="413">
                          <c:v>Sports</c:v>
                        </c:pt>
                        <c:pt idx="414">
                          <c:v>Tech</c:v>
                        </c:pt>
                        <c:pt idx="415">
                          <c:v>Tech</c:v>
                        </c:pt>
                        <c:pt idx="416">
                          <c:v>Sports</c:v>
                        </c:pt>
                        <c:pt idx="417">
                          <c:v>Food</c:v>
                        </c:pt>
                        <c:pt idx="418">
                          <c:v>Sports</c:v>
                        </c:pt>
                        <c:pt idx="419">
                          <c:v>Food</c:v>
                        </c:pt>
                        <c:pt idx="420">
                          <c:v>Food</c:v>
                        </c:pt>
                        <c:pt idx="421">
                          <c:v>Sports</c:v>
                        </c:pt>
                        <c:pt idx="422">
                          <c:v>Food</c:v>
                        </c:pt>
                        <c:pt idx="423">
                          <c:v>Fashion</c:v>
                        </c:pt>
                        <c:pt idx="424">
                          <c:v>Food</c:v>
                        </c:pt>
                        <c:pt idx="425">
                          <c:v>Entertainment</c:v>
                        </c:pt>
                        <c:pt idx="426">
                          <c:v>Travel</c:v>
                        </c:pt>
                        <c:pt idx="427">
                          <c:v>Fashion</c:v>
                        </c:pt>
                        <c:pt idx="428">
                          <c:v>Sports</c:v>
                        </c:pt>
                        <c:pt idx="429">
                          <c:v>Food</c:v>
                        </c:pt>
                        <c:pt idx="430">
                          <c:v>Fashion</c:v>
                        </c:pt>
                        <c:pt idx="431">
                          <c:v>Travel</c:v>
                        </c:pt>
                        <c:pt idx="432">
                          <c:v>Fashion</c:v>
                        </c:pt>
                        <c:pt idx="433">
                          <c:v>Food</c:v>
                        </c:pt>
                        <c:pt idx="434">
                          <c:v>Travel</c:v>
                        </c:pt>
                        <c:pt idx="435">
                          <c:v>Fashion</c:v>
                        </c:pt>
                        <c:pt idx="436">
                          <c:v>Fashion</c:v>
                        </c:pt>
                        <c:pt idx="437">
                          <c:v>Tech</c:v>
                        </c:pt>
                        <c:pt idx="438">
                          <c:v>Sports</c:v>
                        </c:pt>
                        <c:pt idx="439">
                          <c:v>Entertainment</c:v>
                        </c:pt>
                        <c:pt idx="440">
                          <c:v>Tech</c:v>
                        </c:pt>
                        <c:pt idx="441">
                          <c:v>Entertainment</c:v>
                        </c:pt>
                        <c:pt idx="442">
                          <c:v>Entertainment</c:v>
                        </c:pt>
                        <c:pt idx="443">
                          <c:v>Travel</c:v>
                        </c:pt>
                        <c:pt idx="444">
                          <c:v>Entertainment</c:v>
                        </c:pt>
                        <c:pt idx="445">
                          <c:v>Travel</c:v>
                        </c:pt>
                        <c:pt idx="446">
                          <c:v>Sports</c:v>
                        </c:pt>
                        <c:pt idx="447">
                          <c:v>Travel</c:v>
                        </c:pt>
                        <c:pt idx="448">
                          <c:v>Tech</c:v>
                        </c:pt>
                        <c:pt idx="449">
                          <c:v>Food</c:v>
                        </c:pt>
                        <c:pt idx="450">
                          <c:v>Food</c:v>
                        </c:pt>
                        <c:pt idx="451">
                          <c:v>Sports</c:v>
                        </c:pt>
                        <c:pt idx="452">
                          <c:v>Sports</c:v>
                        </c:pt>
                        <c:pt idx="453">
                          <c:v>Travel</c:v>
                        </c:pt>
                        <c:pt idx="454">
                          <c:v>Entertainment</c:v>
                        </c:pt>
                        <c:pt idx="455">
                          <c:v>Food</c:v>
                        </c:pt>
                        <c:pt idx="456">
                          <c:v>Tech</c:v>
                        </c:pt>
                        <c:pt idx="457">
                          <c:v>Entertainment</c:v>
                        </c:pt>
                        <c:pt idx="458">
                          <c:v>Tech</c:v>
                        </c:pt>
                        <c:pt idx="459">
                          <c:v>Food</c:v>
                        </c:pt>
                        <c:pt idx="460">
                          <c:v>Fashion</c:v>
                        </c:pt>
                        <c:pt idx="461">
                          <c:v>Fashion</c:v>
                        </c:pt>
                        <c:pt idx="462">
                          <c:v>Food</c:v>
                        </c:pt>
                        <c:pt idx="463">
                          <c:v>Tech</c:v>
                        </c:pt>
                        <c:pt idx="464">
                          <c:v>Entertainment</c:v>
                        </c:pt>
                        <c:pt idx="465">
                          <c:v>Sports</c:v>
                        </c:pt>
                        <c:pt idx="466">
                          <c:v>Tech</c:v>
                        </c:pt>
                        <c:pt idx="467">
                          <c:v>Entertainment</c:v>
                        </c:pt>
                        <c:pt idx="468">
                          <c:v>Travel</c:v>
                        </c:pt>
                        <c:pt idx="469">
                          <c:v>Tech</c:v>
                        </c:pt>
                        <c:pt idx="470">
                          <c:v>Travel</c:v>
                        </c:pt>
                        <c:pt idx="471">
                          <c:v>Travel</c:v>
                        </c:pt>
                        <c:pt idx="472">
                          <c:v>Fashion</c:v>
                        </c:pt>
                        <c:pt idx="473">
                          <c:v>Fashion</c:v>
                        </c:pt>
                        <c:pt idx="474">
                          <c:v>Sports</c:v>
                        </c:pt>
                        <c:pt idx="475">
                          <c:v>Fashion</c:v>
                        </c:pt>
                        <c:pt idx="476">
                          <c:v>Fashion</c:v>
                        </c:pt>
                        <c:pt idx="477">
                          <c:v>Fashion</c:v>
                        </c:pt>
                        <c:pt idx="478">
                          <c:v>Entertainment</c:v>
                        </c:pt>
                        <c:pt idx="479">
                          <c:v>Tech</c:v>
                        </c:pt>
                        <c:pt idx="480">
                          <c:v>Sports</c:v>
                        </c:pt>
                        <c:pt idx="481">
                          <c:v>Travel</c:v>
                        </c:pt>
                        <c:pt idx="482">
                          <c:v>Fashion</c:v>
                        </c:pt>
                        <c:pt idx="483">
                          <c:v>Food</c:v>
                        </c:pt>
                        <c:pt idx="484">
                          <c:v>Food</c:v>
                        </c:pt>
                        <c:pt idx="485">
                          <c:v>Tech</c:v>
                        </c:pt>
                        <c:pt idx="486">
                          <c:v>Food</c:v>
                        </c:pt>
                        <c:pt idx="487">
                          <c:v>Tech</c:v>
                        </c:pt>
                        <c:pt idx="488">
                          <c:v>Sports</c:v>
                        </c:pt>
                        <c:pt idx="489">
                          <c:v>Food</c:v>
                        </c:pt>
                        <c:pt idx="490">
                          <c:v>Entertainment</c:v>
                        </c:pt>
                        <c:pt idx="491">
                          <c:v>Food</c:v>
                        </c:pt>
                        <c:pt idx="492">
                          <c:v>Sports</c:v>
                        </c:pt>
                        <c:pt idx="493">
                          <c:v>Fashion</c:v>
                        </c:pt>
                        <c:pt idx="494">
                          <c:v>Fashion</c:v>
                        </c:pt>
                        <c:pt idx="495">
                          <c:v>Travel</c:v>
                        </c:pt>
                        <c:pt idx="496">
                          <c:v>Fashion</c:v>
                        </c:pt>
                        <c:pt idx="497">
                          <c:v>Tech</c:v>
                        </c:pt>
                        <c:pt idx="498">
                          <c:v>Fashion</c:v>
                        </c:pt>
                        <c:pt idx="499">
                          <c:v>Travel</c:v>
                        </c:pt>
                      </c:lvl>
                      <c:lvl>
                        <c:pt idx="0">
                          <c:v>P098</c:v>
                        </c:pt>
                        <c:pt idx="1">
                          <c:v>P103</c:v>
                        </c:pt>
                        <c:pt idx="2">
                          <c:v>P134</c:v>
                        </c:pt>
                        <c:pt idx="3">
                          <c:v>P140</c:v>
                        </c:pt>
                        <c:pt idx="4">
                          <c:v>P186</c:v>
                        </c:pt>
                        <c:pt idx="5">
                          <c:v>P224</c:v>
                        </c:pt>
                        <c:pt idx="6">
                          <c:v>P265</c:v>
                        </c:pt>
                        <c:pt idx="7">
                          <c:v>P281</c:v>
                        </c:pt>
                        <c:pt idx="8">
                          <c:v>P415</c:v>
                        </c:pt>
                        <c:pt idx="9">
                          <c:v>P467</c:v>
                        </c:pt>
                        <c:pt idx="10">
                          <c:v>P468</c:v>
                        </c:pt>
                        <c:pt idx="11">
                          <c:v>P476</c:v>
                        </c:pt>
                        <c:pt idx="12">
                          <c:v>P018</c:v>
                        </c:pt>
                        <c:pt idx="13">
                          <c:v>P023</c:v>
                        </c:pt>
                        <c:pt idx="14">
                          <c:v>P051</c:v>
                        </c:pt>
                        <c:pt idx="15">
                          <c:v>P066</c:v>
                        </c:pt>
                        <c:pt idx="16">
                          <c:v>P171</c:v>
                        </c:pt>
                        <c:pt idx="17">
                          <c:v>P210</c:v>
                        </c:pt>
                        <c:pt idx="18">
                          <c:v>P217</c:v>
                        </c:pt>
                        <c:pt idx="19">
                          <c:v>P218</c:v>
                        </c:pt>
                        <c:pt idx="20">
                          <c:v>P226</c:v>
                        </c:pt>
                        <c:pt idx="21">
                          <c:v>P280</c:v>
                        </c:pt>
                        <c:pt idx="22">
                          <c:v>P314</c:v>
                        </c:pt>
                        <c:pt idx="23">
                          <c:v>P391</c:v>
                        </c:pt>
                        <c:pt idx="24">
                          <c:v>P394</c:v>
                        </c:pt>
                        <c:pt idx="25">
                          <c:v>P425</c:v>
                        </c:pt>
                        <c:pt idx="26">
                          <c:v>P016</c:v>
                        </c:pt>
                        <c:pt idx="27">
                          <c:v>P038</c:v>
                        </c:pt>
                        <c:pt idx="28">
                          <c:v>P139</c:v>
                        </c:pt>
                        <c:pt idx="29">
                          <c:v>P190</c:v>
                        </c:pt>
                        <c:pt idx="30">
                          <c:v>P211</c:v>
                        </c:pt>
                        <c:pt idx="31">
                          <c:v>P249</c:v>
                        </c:pt>
                        <c:pt idx="32">
                          <c:v>P254</c:v>
                        </c:pt>
                        <c:pt idx="33">
                          <c:v>P293</c:v>
                        </c:pt>
                        <c:pt idx="34">
                          <c:v>P328</c:v>
                        </c:pt>
                        <c:pt idx="35">
                          <c:v>P377</c:v>
                        </c:pt>
                        <c:pt idx="36">
                          <c:v>P382</c:v>
                        </c:pt>
                        <c:pt idx="37">
                          <c:v>P482</c:v>
                        </c:pt>
                        <c:pt idx="38">
                          <c:v>P045</c:v>
                        </c:pt>
                        <c:pt idx="39">
                          <c:v>P065</c:v>
                        </c:pt>
                        <c:pt idx="40">
                          <c:v>P069</c:v>
                        </c:pt>
                        <c:pt idx="41">
                          <c:v>P156</c:v>
                        </c:pt>
                        <c:pt idx="42">
                          <c:v>P232</c:v>
                        </c:pt>
                        <c:pt idx="43">
                          <c:v>P320</c:v>
                        </c:pt>
                        <c:pt idx="44">
                          <c:v>P353</c:v>
                        </c:pt>
                        <c:pt idx="45">
                          <c:v>P444</c:v>
                        </c:pt>
                        <c:pt idx="46">
                          <c:v>P113</c:v>
                        </c:pt>
                        <c:pt idx="47">
                          <c:v>P141</c:v>
                        </c:pt>
                        <c:pt idx="48">
                          <c:v>P237</c:v>
                        </c:pt>
                        <c:pt idx="49">
                          <c:v>P284</c:v>
                        </c:pt>
                        <c:pt idx="50">
                          <c:v>P350</c:v>
                        </c:pt>
                        <c:pt idx="51">
                          <c:v>P442</c:v>
                        </c:pt>
                        <c:pt idx="52">
                          <c:v>P479</c:v>
                        </c:pt>
                        <c:pt idx="53">
                          <c:v>P491</c:v>
                        </c:pt>
                        <c:pt idx="54">
                          <c:v>P496</c:v>
                        </c:pt>
                        <c:pt idx="55">
                          <c:v>P067</c:v>
                        </c:pt>
                        <c:pt idx="56">
                          <c:v>P174</c:v>
                        </c:pt>
                        <c:pt idx="57">
                          <c:v>P192</c:v>
                        </c:pt>
                        <c:pt idx="58">
                          <c:v>P230</c:v>
                        </c:pt>
                        <c:pt idx="59">
                          <c:v>P239</c:v>
                        </c:pt>
                        <c:pt idx="60">
                          <c:v>P246</c:v>
                        </c:pt>
                        <c:pt idx="61">
                          <c:v>P362</c:v>
                        </c:pt>
                        <c:pt idx="62">
                          <c:v>P434</c:v>
                        </c:pt>
                        <c:pt idx="63">
                          <c:v>P445</c:v>
                        </c:pt>
                        <c:pt idx="64">
                          <c:v>P040</c:v>
                        </c:pt>
                        <c:pt idx="65">
                          <c:v>P055</c:v>
                        </c:pt>
                        <c:pt idx="66">
                          <c:v>P100</c:v>
                        </c:pt>
                        <c:pt idx="67">
                          <c:v>P118</c:v>
                        </c:pt>
                        <c:pt idx="68">
                          <c:v>P168</c:v>
                        </c:pt>
                        <c:pt idx="69">
                          <c:v>P258</c:v>
                        </c:pt>
                        <c:pt idx="70">
                          <c:v>P275</c:v>
                        </c:pt>
                        <c:pt idx="71">
                          <c:v>P327</c:v>
                        </c:pt>
                        <c:pt idx="72">
                          <c:v>P411</c:v>
                        </c:pt>
                        <c:pt idx="73">
                          <c:v>P005</c:v>
                        </c:pt>
                        <c:pt idx="74">
                          <c:v>P057</c:v>
                        </c:pt>
                        <c:pt idx="75">
                          <c:v>P081</c:v>
                        </c:pt>
                        <c:pt idx="76">
                          <c:v>P105</c:v>
                        </c:pt>
                        <c:pt idx="77">
                          <c:v>P109</c:v>
                        </c:pt>
                        <c:pt idx="78">
                          <c:v>P120</c:v>
                        </c:pt>
                        <c:pt idx="79">
                          <c:v>P193</c:v>
                        </c:pt>
                        <c:pt idx="80">
                          <c:v>P300</c:v>
                        </c:pt>
                        <c:pt idx="81">
                          <c:v>P326</c:v>
                        </c:pt>
                        <c:pt idx="82">
                          <c:v>P340</c:v>
                        </c:pt>
                        <c:pt idx="83">
                          <c:v>P416</c:v>
                        </c:pt>
                        <c:pt idx="84">
                          <c:v>P439</c:v>
                        </c:pt>
                        <c:pt idx="85">
                          <c:v>P042</c:v>
                        </c:pt>
                        <c:pt idx="86">
                          <c:v>P049</c:v>
                        </c:pt>
                        <c:pt idx="87">
                          <c:v>P101</c:v>
                        </c:pt>
                        <c:pt idx="88">
                          <c:v>P119</c:v>
                        </c:pt>
                        <c:pt idx="89">
                          <c:v>P146</c:v>
                        </c:pt>
                        <c:pt idx="90">
                          <c:v>P195</c:v>
                        </c:pt>
                        <c:pt idx="91">
                          <c:v>P245</c:v>
                        </c:pt>
                        <c:pt idx="92">
                          <c:v>P287</c:v>
                        </c:pt>
                        <c:pt idx="93">
                          <c:v>P399</c:v>
                        </c:pt>
                        <c:pt idx="94">
                          <c:v>P465</c:v>
                        </c:pt>
                        <c:pt idx="95">
                          <c:v>P075</c:v>
                        </c:pt>
                        <c:pt idx="96">
                          <c:v>P010</c:v>
                        </c:pt>
                        <c:pt idx="97">
                          <c:v>P011</c:v>
                        </c:pt>
                        <c:pt idx="98">
                          <c:v>P107</c:v>
                        </c:pt>
                        <c:pt idx="99">
                          <c:v>P181</c:v>
                        </c:pt>
                        <c:pt idx="100">
                          <c:v>P233</c:v>
                        </c:pt>
                        <c:pt idx="101">
                          <c:v>P241</c:v>
                        </c:pt>
                        <c:pt idx="102">
                          <c:v>P266</c:v>
                        </c:pt>
                        <c:pt idx="103">
                          <c:v>P298</c:v>
                        </c:pt>
                        <c:pt idx="104">
                          <c:v>P026</c:v>
                        </c:pt>
                        <c:pt idx="105">
                          <c:v>P121</c:v>
                        </c:pt>
                        <c:pt idx="106">
                          <c:v>P208</c:v>
                        </c:pt>
                        <c:pt idx="107">
                          <c:v>P283</c:v>
                        </c:pt>
                        <c:pt idx="108">
                          <c:v>P332</c:v>
                        </c:pt>
                        <c:pt idx="109">
                          <c:v>P420</c:v>
                        </c:pt>
                        <c:pt idx="110">
                          <c:v>P466</c:v>
                        </c:pt>
                        <c:pt idx="111">
                          <c:v>P483</c:v>
                        </c:pt>
                        <c:pt idx="112">
                          <c:v>P497</c:v>
                        </c:pt>
                        <c:pt idx="113">
                          <c:v>P151</c:v>
                        </c:pt>
                        <c:pt idx="114">
                          <c:v>P166</c:v>
                        </c:pt>
                        <c:pt idx="115">
                          <c:v>P188</c:v>
                        </c:pt>
                        <c:pt idx="116">
                          <c:v>P410</c:v>
                        </c:pt>
                        <c:pt idx="117">
                          <c:v>P453</c:v>
                        </c:pt>
                        <c:pt idx="118">
                          <c:v>P047</c:v>
                        </c:pt>
                        <c:pt idx="119">
                          <c:v>P060</c:v>
                        </c:pt>
                        <c:pt idx="120">
                          <c:v>P077</c:v>
                        </c:pt>
                        <c:pt idx="121">
                          <c:v>P082</c:v>
                        </c:pt>
                        <c:pt idx="122">
                          <c:v>P138</c:v>
                        </c:pt>
                        <c:pt idx="123">
                          <c:v>P143</c:v>
                        </c:pt>
                        <c:pt idx="124">
                          <c:v>P322</c:v>
                        </c:pt>
                        <c:pt idx="125">
                          <c:v>P419</c:v>
                        </c:pt>
                        <c:pt idx="126">
                          <c:v>P489</c:v>
                        </c:pt>
                        <c:pt idx="127">
                          <c:v>P003</c:v>
                        </c:pt>
                        <c:pt idx="128">
                          <c:v>P035</c:v>
                        </c:pt>
                        <c:pt idx="129">
                          <c:v>P080</c:v>
                        </c:pt>
                        <c:pt idx="130">
                          <c:v>P096</c:v>
                        </c:pt>
                        <c:pt idx="131">
                          <c:v>P147</c:v>
                        </c:pt>
                        <c:pt idx="132">
                          <c:v>P148</c:v>
                        </c:pt>
                        <c:pt idx="133">
                          <c:v>P162</c:v>
                        </c:pt>
                        <c:pt idx="134">
                          <c:v>P201</c:v>
                        </c:pt>
                        <c:pt idx="135">
                          <c:v>P422</c:v>
                        </c:pt>
                        <c:pt idx="136">
                          <c:v>P435</c:v>
                        </c:pt>
                        <c:pt idx="137">
                          <c:v>P034</c:v>
                        </c:pt>
                        <c:pt idx="138">
                          <c:v>P086</c:v>
                        </c:pt>
                        <c:pt idx="139">
                          <c:v>P243</c:v>
                        </c:pt>
                        <c:pt idx="140">
                          <c:v>P247</c:v>
                        </c:pt>
                        <c:pt idx="141">
                          <c:v>P276</c:v>
                        </c:pt>
                        <c:pt idx="142">
                          <c:v>P292</c:v>
                        </c:pt>
                        <c:pt idx="143">
                          <c:v>P316</c:v>
                        </c:pt>
                        <c:pt idx="144">
                          <c:v>P418</c:v>
                        </c:pt>
                        <c:pt idx="145">
                          <c:v>P452</c:v>
                        </c:pt>
                        <c:pt idx="146">
                          <c:v>P477</c:v>
                        </c:pt>
                        <c:pt idx="147">
                          <c:v>P485</c:v>
                        </c:pt>
                        <c:pt idx="148">
                          <c:v>P498</c:v>
                        </c:pt>
                        <c:pt idx="149">
                          <c:v>P061</c:v>
                        </c:pt>
                        <c:pt idx="150">
                          <c:v>P108</c:v>
                        </c:pt>
                        <c:pt idx="151">
                          <c:v>P215</c:v>
                        </c:pt>
                        <c:pt idx="152">
                          <c:v>P234</c:v>
                        </c:pt>
                        <c:pt idx="153">
                          <c:v>P329</c:v>
                        </c:pt>
                        <c:pt idx="154">
                          <c:v>P356</c:v>
                        </c:pt>
                        <c:pt idx="155">
                          <c:v>P396</c:v>
                        </c:pt>
                        <c:pt idx="156">
                          <c:v>P458</c:v>
                        </c:pt>
                        <c:pt idx="157">
                          <c:v>P044</c:v>
                        </c:pt>
                        <c:pt idx="158">
                          <c:v>P071</c:v>
                        </c:pt>
                        <c:pt idx="159">
                          <c:v>P088</c:v>
                        </c:pt>
                        <c:pt idx="160">
                          <c:v>P263</c:v>
                        </c:pt>
                        <c:pt idx="161">
                          <c:v>P311</c:v>
                        </c:pt>
                        <c:pt idx="162">
                          <c:v>P313</c:v>
                        </c:pt>
                        <c:pt idx="163">
                          <c:v>P378</c:v>
                        </c:pt>
                        <c:pt idx="164">
                          <c:v>P008</c:v>
                        </c:pt>
                        <c:pt idx="165">
                          <c:v>P225</c:v>
                        </c:pt>
                        <c:pt idx="166">
                          <c:v>P252</c:v>
                        </c:pt>
                        <c:pt idx="167">
                          <c:v>P255</c:v>
                        </c:pt>
                        <c:pt idx="168">
                          <c:v>P290</c:v>
                        </c:pt>
                        <c:pt idx="169">
                          <c:v>P352</c:v>
                        </c:pt>
                        <c:pt idx="170">
                          <c:v>P457</c:v>
                        </c:pt>
                        <c:pt idx="171">
                          <c:v>P459</c:v>
                        </c:pt>
                        <c:pt idx="172">
                          <c:v>P052</c:v>
                        </c:pt>
                        <c:pt idx="173">
                          <c:v>P179</c:v>
                        </c:pt>
                        <c:pt idx="174">
                          <c:v>P250</c:v>
                        </c:pt>
                        <c:pt idx="175">
                          <c:v>P256</c:v>
                        </c:pt>
                        <c:pt idx="176">
                          <c:v>P294</c:v>
                        </c:pt>
                        <c:pt idx="177">
                          <c:v>P304</c:v>
                        </c:pt>
                        <c:pt idx="178">
                          <c:v>P325</c:v>
                        </c:pt>
                        <c:pt idx="179">
                          <c:v>P414</c:v>
                        </c:pt>
                        <c:pt idx="180">
                          <c:v>P006</c:v>
                        </c:pt>
                        <c:pt idx="181">
                          <c:v>P024</c:v>
                        </c:pt>
                        <c:pt idx="182">
                          <c:v>P041</c:v>
                        </c:pt>
                        <c:pt idx="183">
                          <c:v>P085</c:v>
                        </c:pt>
                        <c:pt idx="184">
                          <c:v>P323</c:v>
                        </c:pt>
                        <c:pt idx="185">
                          <c:v>P344</c:v>
                        </c:pt>
                        <c:pt idx="186">
                          <c:v>P373</c:v>
                        </c:pt>
                        <c:pt idx="187">
                          <c:v>P017</c:v>
                        </c:pt>
                        <c:pt idx="188">
                          <c:v>P027</c:v>
                        </c:pt>
                        <c:pt idx="189">
                          <c:v>P131</c:v>
                        </c:pt>
                        <c:pt idx="190">
                          <c:v>P169</c:v>
                        </c:pt>
                        <c:pt idx="191">
                          <c:v>P240</c:v>
                        </c:pt>
                        <c:pt idx="192">
                          <c:v>P333</c:v>
                        </c:pt>
                        <c:pt idx="193">
                          <c:v>P334</c:v>
                        </c:pt>
                        <c:pt idx="194">
                          <c:v>P389</c:v>
                        </c:pt>
                        <c:pt idx="195">
                          <c:v>P428</c:v>
                        </c:pt>
                        <c:pt idx="196">
                          <c:v>P430</c:v>
                        </c:pt>
                        <c:pt idx="197">
                          <c:v>P431</c:v>
                        </c:pt>
                        <c:pt idx="198">
                          <c:v>P480</c:v>
                        </c:pt>
                        <c:pt idx="199">
                          <c:v>P487</c:v>
                        </c:pt>
                        <c:pt idx="200">
                          <c:v>P009</c:v>
                        </c:pt>
                        <c:pt idx="201">
                          <c:v>P083</c:v>
                        </c:pt>
                        <c:pt idx="202">
                          <c:v>P125</c:v>
                        </c:pt>
                        <c:pt idx="203">
                          <c:v>P159</c:v>
                        </c:pt>
                        <c:pt idx="204">
                          <c:v>P220</c:v>
                        </c:pt>
                        <c:pt idx="205">
                          <c:v>P270</c:v>
                        </c:pt>
                        <c:pt idx="206">
                          <c:v>P375</c:v>
                        </c:pt>
                        <c:pt idx="207">
                          <c:v>P390</c:v>
                        </c:pt>
                        <c:pt idx="208">
                          <c:v>P421</c:v>
                        </c:pt>
                        <c:pt idx="209">
                          <c:v>P427</c:v>
                        </c:pt>
                        <c:pt idx="210">
                          <c:v>P464</c:v>
                        </c:pt>
                        <c:pt idx="211">
                          <c:v>P012</c:v>
                        </c:pt>
                        <c:pt idx="212">
                          <c:v>P015</c:v>
                        </c:pt>
                        <c:pt idx="213">
                          <c:v>P019</c:v>
                        </c:pt>
                        <c:pt idx="214">
                          <c:v>P090</c:v>
                        </c:pt>
                        <c:pt idx="215">
                          <c:v>P102</c:v>
                        </c:pt>
                        <c:pt idx="216">
                          <c:v>P106</c:v>
                        </c:pt>
                        <c:pt idx="217">
                          <c:v>P126</c:v>
                        </c:pt>
                        <c:pt idx="218">
                          <c:v>P200</c:v>
                        </c:pt>
                        <c:pt idx="219">
                          <c:v>P204</c:v>
                        </c:pt>
                        <c:pt idx="220">
                          <c:v>P236</c:v>
                        </c:pt>
                        <c:pt idx="221">
                          <c:v>P295</c:v>
                        </c:pt>
                        <c:pt idx="222">
                          <c:v>P297</c:v>
                        </c:pt>
                        <c:pt idx="223">
                          <c:v>P366</c:v>
                        </c:pt>
                        <c:pt idx="224">
                          <c:v>P385</c:v>
                        </c:pt>
                        <c:pt idx="225">
                          <c:v>P409</c:v>
                        </c:pt>
                        <c:pt idx="226">
                          <c:v>P029</c:v>
                        </c:pt>
                        <c:pt idx="227">
                          <c:v>P046</c:v>
                        </c:pt>
                        <c:pt idx="228">
                          <c:v>P092</c:v>
                        </c:pt>
                        <c:pt idx="229">
                          <c:v>P099</c:v>
                        </c:pt>
                        <c:pt idx="230">
                          <c:v>P183</c:v>
                        </c:pt>
                        <c:pt idx="231">
                          <c:v>P268</c:v>
                        </c:pt>
                        <c:pt idx="232">
                          <c:v>P307</c:v>
                        </c:pt>
                        <c:pt idx="233">
                          <c:v>P309</c:v>
                        </c:pt>
                        <c:pt idx="234">
                          <c:v>P379</c:v>
                        </c:pt>
                        <c:pt idx="235">
                          <c:v>P408</c:v>
                        </c:pt>
                        <c:pt idx="236">
                          <c:v>P429</c:v>
                        </c:pt>
                        <c:pt idx="237">
                          <c:v>P473</c:v>
                        </c:pt>
                        <c:pt idx="238">
                          <c:v>P050</c:v>
                        </c:pt>
                        <c:pt idx="239">
                          <c:v>P072</c:v>
                        </c:pt>
                        <c:pt idx="240">
                          <c:v>P091</c:v>
                        </c:pt>
                        <c:pt idx="241">
                          <c:v>P142</c:v>
                        </c:pt>
                        <c:pt idx="242">
                          <c:v>P149</c:v>
                        </c:pt>
                        <c:pt idx="243">
                          <c:v>P228</c:v>
                        </c:pt>
                        <c:pt idx="244">
                          <c:v>P253</c:v>
                        </c:pt>
                        <c:pt idx="245">
                          <c:v>P277</c:v>
                        </c:pt>
                        <c:pt idx="246">
                          <c:v>P395</c:v>
                        </c:pt>
                        <c:pt idx="247">
                          <c:v>P405</c:v>
                        </c:pt>
                        <c:pt idx="248">
                          <c:v>P461</c:v>
                        </c:pt>
                        <c:pt idx="249">
                          <c:v>P463</c:v>
                        </c:pt>
                        <c:pt idx="250">
                          <c:v>P484</c:v>
                        </c:pt>
                        <c:pt idx="251">
                          <c:v>P499</c:v>
                        </c:pt>
                        <c:pt idx="252">
                          <c:v>P500</c:v>
                        </c:pt>
                        <c:pt idx="253">
                          <c:v>P031</c:v>
                        </c:pt>
                        <c:pt idx="254">
                          <c:v>P132</c:v>
                        </c:pt>
                        <c:pt idx="255">
                          <c:v>P145</c:v>
                        </c:pt>
                        <c:pt idx="256">
                          <c:v>P187</c:v>
                        </c:pt>
                        <c:pt idx="257">
                          <c:v>P194</c:v>
                        </c:pt>
                        <c:pt idx="258">
                          <c:v>P341</c:v>
                        </c:pt>
                        <c:pt idx="259">
                          <c:v>P342</c:v>
                        </c:pt>
                        <c:pt idx="260">
                          <c:v>P392</c:v>
                        </c:pt>
                        <c:pt idx="261">
                          <c:v>P033</c:v>
                        </c:pt>
                        <c:pt idx="262">
                          <c:v>P053</c:v>
                        </c:pt>
                        <c:pt idx="263">
                          <c:v>P117</c:v>
                        </c:pt>
                        <c:pt idx="264">
                          <c:v>P170</c:v>
                        </c:pt>
                        <c:pt idx="265">
                          <c:v>P175</c:v>
                        </c:pt>
                        <c:pt idx="266">
                          <c:v>P176</c:v>
                        </c:pt>
                        <c:pt idx="267">
                          <c:v>P182</c:v>
                        </c:pt>
                        <c:pt idx="268">
                          <c:v>P219</c:v>
                        </c:pt>
                        <c:pt idx="269">
                          <c:v>P267</c:v>
                        </c:pt>
                        <c:pt idx="270">
                          <c:v>P347</c:v>
                        </c:pt>
                        <c:pt idx="271">
                          <c:v>P358</c:v>
                        </c:pt>
                        <c:pt idx="272">
                          <c:v>P423</c:v>
                        </c:pt>
                        <c:pt idx="273">
                          <c:v>P460</c:v>
                        </c:pt>
                        <c:pt idx="274">
                          <c:v>P490</c:v>
                        </c:pt>
                        <c:pt idx="275">
                          <c:v>P002</c:v>
                        </c:pt>
                        <c:pt idx="276">
                          <c:v>P070</c:v>
                        </c:pt>
                        <c:pt idx="277">
                          <c:v>P095</c:v>
                        </c:pt>
                        <c:pt idx="278">
                          <c:v>P164</c:v>
                        </c:pt>
                        <c:pt idx="279">
                          <c:v>P248</c:v>
                        </c:pt>
                        <c:pt idx="280">
                          <c:v>P310</c:v>
                        </c:pt>
                        <c:pt idx="281">
                          <c:v>P360</c:v>
                        </c:pt>
                        <c:pt idx="282">
                          <c:v>P367</c:v>
                        </c:pt>
                        <c:pt idx="283">
                          <c:v>P403</c:v>
                        </c:pt>
                        <c:pt idx="284">
                          <c:v>P481</c:v>
                        </c:pt>
                        <c:pt idx="285">
                          <c:v>P488</c:v>
                        </c:pt>
                        <c:pt idx="286">
                          <c:v>P021</c:v>
                        </c:pt>
                        <c:pt idx="287">
                          <c:v>P157</c:v>
                        </c:pt>
                        <c:pt idx="288">
                          <c:v>P180</c:v>
                        </c:pt>
                        <c:pt idx="289">
                          <c:v>P272</c:v>
                        </c:pt>
                        <c:pt idx="290">
                          <c:v>P336</c:v>
                        </c:pt>
                        <c:pt idx="291">
                          <c:v>P345</c:v>
                        </c:pt>
                        <c:pt idx="292">
                          <c:v>P359</c:v>
                        </c:pt>
                        <c:pt idx="293">
                          <c:v>P448</c:v>
                        </c:pt>
                        <c:pt idx="294">
                          <c:v>P456</c:v>
                        </c:pt>
                        <c:pt idx="295">
                          <c:v>P494</c:v>
                        </c:pt>
                        <c:pt idx="296">
                          <c:v>P078</c:v>
                        </c:pt>
                        <c:pt idx="297">
                          <c:v>P271</c:v>
                        </c:pt>
                        <c:pt idx="298">
                          <c:v>P370</c:v>
                        </c:pt>
                        <c:pt idx="299">
                          <c:v>P381</c:v>
                        </c:pt>
                        <c:pt idx="300">
                          <c:v>P152</c:v>
                        </c:pt>
                        <c:pt idx="301">
                          <c:v>P155</c:v>
                        </c:pt>
                        <c:pt idx="302">
                          <c:v>P167</c:v>
                        </c:pt>
                        <c:pt idx="303">
                          <c:v>P202</c:v>
                        </c:pt>
                        <c:pt idx="304">
                          <c:v>P203</c:v>
                        </c:pt>
                        <c:pt idx="305">
                          <c:v>P222</c:v>
                        </c:pt>
                        <c:pt idx="306">
                          <c:v>P229</c:v>
                        </c:pt>
                        <c:pt idx="307">
                          <c:v>P231</c:v>
                        </c:pt>
                        <c:pt idx="308">
                          <c:v>P257</c:v>
                        </c:pt>
                        <c:pt idx="309">
                          <c:v>P286</c:v>
                        </c:pt>
                        <c:pt idx="310">
                          <c:v>P374</c:v>
                        </c:pt>
                        <c:pt idx="311">
                          <c:v>P387</c:v>
                        </c:pt>
                        <c:pt idx="312">
                          <c:v>P426</c:v>
                        </c:pt>
                        <c:pt idx="313">
                          <c:v>P447</c:v>
                        </c:pt>
                        <c:pt idx="314">
                          <c:v>P471</c:v>
                        </c:pt>
                        <c:pt idx="315">
                          <c:v>P025</c:v>
                        </c:pt>
                        <c:pt idx="316">
                          <c:v>P112</c:v>
                        </c:pt>
                        <c:pt idx="317">
                          <c:v>P123</c:v>
                        </c:pt>
                        <c:pt idx="318">
                          <c:v>P185</c:v>
                        </c:pt>
                        <c:pt idx="319">
                          <c:v>P197</c:v>
                        </c:pt>
                        <c:pt idx="320">
                          <c:v>P223</c:v>
                        </c:pt>
                        <c:pt idx="321">
                          <c:v>P244</c:v>
                        </c:pt>
                        <c:pt idx="322">
                          <c:v>P260</c:v>
                        </c:pt>
                        <c:pt idx="323">
                          <c:v>P296</c:v>
                        </c:pt>
                        <c:pt idx="324">
                          <c:v>P319</c:v>
                        </c:pt>
                        <c:pt idx="325">
                          <c:v>P321</c:v>
                        </c:pt>
                        <c:pt idx="326">
                          <c:v>P330</c:v>
                        </c:pt>
                        <c:pt idx="327">
                          <c:v>P346</c:v>
                        </c:pt>
                        <c:pt idx="328">
                          <c:v>P349</c:v>
                        </c:pt>
                        <c:pt idx="329">
                          <c:v>P372</c:v>
                        </c:pt>
                        <c:pt idx="330">
                          <c:v>P376</c:v>
                        </c:pt>
                        <c:pt idx="331">
                          <c:v>P398</c:v>
                        </c:pt>
                        <c:pt idx="332">
                          <c:v>P438</c:v>
                        </c:pt>
                        <c:pt idx="333">
                          <c:v>P074</c:v>
                        </c:pt>
                        <c:pt idx="334">
                          <c:v>P122</c:v>
                        </c:pt>
                        <c:pt idx="335">
                          <c:v>P238</c:v>
                        </c:pt>
                        <c:pt idx="336">
                          <c:v>P343</c:v>
                        </c:pt>
                        <c:pt idx="337">
                          <c:v>P424</c:v>
                        </c:pt>
                        <c:pt idx="338">
                          <c:v>P470</c:v>
                        </c:pt>
                        <c:pt idx="339">
                          <c:v>P059</c:v>
                        </c:pt>
                        <c:pt idx="340">
                          <c:v>P110</c:v>
                        </c:pt>
                        <c:pt idx="341">
                          <c:v>P111</c:v>
                        </c:pt>
                        <c:pt idx="342">
                          <c:v>P128</c:v>
                        </c:pt>
                        <c:pt idx="343">
                          <c:v>P133</c:v>
                        </c:pt>
                        <c:pt idx="344">
                          <c:v>P135</c:v>
                        </c:pt>
                        <c:pt idx="345">
                          <c:v>P274</c:v>
                        </c:pt>
                        <c:pt idx="346">
                          <c:v>P289</c:v>
                        </c:pt>
                        <c:pt idx="347">
                          <c:v>P305</c:v>
                        </c:pt>
                        <c:pt idx="348">
                          <c:v>P308</c:v>
                        </c:pt>
                        <c:pt idx="349">
                          <c:v>P315</c:v>
                        </c:pt>
                        <c:pt idx="350">
                          <c:v>P354</c:v>
                        </c:pt>
                        <c:pt idx="351">
                          <c:v>P363</c:v>
                        </c:pt>
                        <c:pt idx="352">
                          <c:v>P371</c:v>
                        </c:pt>
                        <c:pt idx="353">
                          <c:v>P406</c:v>
                        </c:pt>
                        <c:pt idx="354">
                          <c:v>P450</c:v>
                        </c:pt>
                        <c:pt idx="355">
                          <c:v>P013</c:v>
                        </c:pt>
                        <c:pt idx="356">
                          <c:v>P062</c:v>
                        </c:pt>
                        <c:pt idx="357">
                          <c:v>P076</c:v>
                        </c:pt>
                        <c:pt idx="358">
                          <c:v>P165</c:v>
                        </c:pt>
                        <c:pt idx="359">
                          <c:v>P251</c:v>
                        </c:pt>
                        <c:pt idx="360">
                          <c:v>P301</c:v>
                        </c:pt>
                        <c:pt idx="361">
                          <c:v>P318</c:v>
                        </c:pt>
                        <c:pt idx="362">
                          <c:v>P412</c:v>
                        </c:pt>
                        <c:pt idx="363">
                          <c:v>P039</c:v>
                        </c:pt>
                        <c:pt idx="364">
                          <c:v>P127</c:v>
                        </c:pt>
                        <c:pt idx="365">
                          <c:v>P136</c:v>
                        </c:pt>
                        <c:pt idx="366">
                          <c:v>P158</c:v>
                        </c:pt>
                        <c:pt idx="367">
                          <c:v>P196</c:v>
                        </c:pt>
                        <c:pt idx="368">
                          <c:v>P213</c:v>
                        </c:pt>
                        <c:pt idx="369">
                          <c:v>P221</c:v>
                        </c:pt>
                        <c:pt idx="370">
                          <c:v>P285</c:v>
                        </c:pt>
                        <c:pt idx="371">
                          <c:v>P365</c:v>
                        </c:pt>
                        <c:pt idx="372">
                          <c:v>P437</c:v>
                        </c:pt>
                        <c:pt idx="373">
                          <c:v>P462</c:v>
                        </c:pt>
                        <c:pt idx="374">
                          <c:v>P486</c:v>
                        </c:pt>
                        <c:pt idx="375">
                          <c:v>P022</c:v>
                        </c:pt>
                        <c:pt idx="376">
                          <c:v>P235</c:v>
                        </c:pt>
                        <c:pt idx="377">
                          <c:v>P302</c:v>
                        </c:pt>
                        <c:pt idx="378">
                          <c:v>P337</c:v>
                        </c:pt>
                        <c:pt idx="379">
                          <c:v>P338</c:v>
                        </c:pt>
                        <c:pt idx="380">
                          <c:v>P001</c:v>
                        </c:pt>
                        <c:pt idx="381">
                          <c:v>P007</c:v>
                        </c:pt>
                        <c:pt idx="382">
                          <c:v>P043</c:v>
                        </c:pt>
                        <c:pt idx="383">
                          <c:v>P115</c:v>
                        </c:pt>
                        <c:pt idx="384">
                          <c:v>P144</c:v>
                        </c:pt>
                        <c:pt idx="385">
                          <c:v>P153</c:v>
                        </c:pt>
                        <c:pt idx="386">
                          <c:v>P160</c:v>
                        </c:pt>
                        <c:pt idx="387">
                          <c:v>P184</c:v>
                        </c:pt>
                        <c:pt idx="388">
                          <c:v>P191</c:v>
                        </c:pt>
                        <c:pt idx="389">
                          <c:v>P209</c:v>
                        </c:pt>
                        <c:pt idx="390">
                          <c:v>P262</c:v>
                        </c:pt>
                        <c:pt idx="391">
                          <c:v>P402</c:v>
                        </c:pt>
                        <c:pt idx="392">
                          <c:v>P443</c:v>
                        </c:pt>
                        <c:pt idx="393">
                          <c:v>P478</c:v>
                        </c:pt>
                        <c:pt idx="394">
                          <c:v>P014</c:v>
                        </c:pt>
                        <c:pt idx="395">
                          <c:v>P064</c:v>
                        </c:pt>
                        <c:pt idx="396">
                          <c:v>P084</c:v>
                        </c:pt>
                        <c:pt idx="397">
                          <c:v>P130</c:v>
                        </c:pt>
                        <c:pt idx="398">
                          <c:v>P261</c:v>
                        </c:pt>
                        <c:pt idx="399">
                          <c:v>P264</c:v>
                        </c:pt>
                        <c:pt idx="400">
                          <c:v>P303</c:v>
                        </c:pt>
                        <c:pt idx="401">
                          <c:v>P383</c:v>
                        </c:pt>
                        <c:pt idx="402">
                          <c:v>P397</c:v>
                        </c:pt>
                        <c:pt idx="403">
                          <c:v>P451</c:v>
                        </c:pt>
                        <c:pt idx="404">
                          <c:v>P474</c:v>
                        </c:pt>
                        <c:pt idx="405">
                          <c:v>P094</c:v>
                        </c:pt>
                        <c:pt idx="406">
                          <c:v>P116</c:v>
                        </c:pt>
                        <c:pt idx="407">
                          <c:v>P189</c:v>
                        </c:pt>
                        <c:pt idx="408">
                          <c:v>P205</c:v>
                        </c:pt>
                        <c:pt idx="409">
                          <c:v>P259</c:v>
                        </c:pt>
                        <c:pt idx="410">
                          <c:v>P288</c:v>
                        </c:pt>
                        <c:pt idx="411">
                          <c:v>P317</c:v>
                        </c:pt>
                        <c:pt idx="412">
                          <c:v>P364</c:v>
                        </c:pt>
                        <c:pt idx="413">
                          <c:v>P032</c:v>
                        </c:pt>
                        <c:pt idx="414">
                          <c:v>P068</c:v>
                        </c:pt>
                        <c:pt idx="415">
                          <c:v>P114</c:v>
                        </c:pt>
                        <c:pt idx="416">
                          <c:v>P150</c:v>
                        </c:pt>
                        <c:pt idx="417">
                          <c:v>P172</c:v>
                        </c:pt>
                        <c:pt idx="418">
                          <c:v>P198</c:v>
                        </c:pt>
                        <c:pt idx="419">
                          <c:v>P273</c:v>
                        </c:pt>
                        <c:pt idx="420">
                          <c:v>P380</c:v>
                        </c:pt>
                        <c:pt idx="421">
                          <c:v>P393</c:v>
                        </c:pt>
                        <c:pt idx="422">
                          <c:v>P404</c:v>
                        </c:pt>
                        <c:pt idx="423">
                          <c:v>P433</c:v>
                        </c:pt>
                        <c:pt idx="424">
                          <c:v>P455</c:v>
                        </c:pt>
                        <c:pt idx="425">
                          <c:v>P004</c:v>
                        </c:pt>
                        <c:pt idx="426">
                          <c:v>P163</c:v>
                        </c:pt>
                        <c:pt idx="427">
                          <c:v>P400</c:v>
                        </c:pt>
                        <c:pt idx="428">
                          <c:v>P436</c:v>
                        </c:pt>
                        <c:pt idx="429">
                          <c:v>P020</c:v>
                        </c:pt>
                        <c:pt idx="430">
                          <c:v>P028</c:v>
                        </c:pt>
                        <c:pt idx="431">
                          <c:v>P037</c:v>
                        </c:pt>
                        <c:pt idx="432">
                          <c:v>P056</c:v>
                        </c:pt>
                        <c:pt idx="433">
                          <c:v>P073</c:v>
                        </c:pt>
                        <c:pt idx="434">
                          <c:v>P104</c:v>
                        </c:pt>
                        <c:pt idx="435">
                          <c:v>P129</c:v>
                        </c:pt>
                        <c:pt idx="436">
                          <c:v>P177</c:v>
                        </c:pt>
                        <c:pt idx="437">
                          <c:v>P178</c:v>
                        </c:pt>
                        <c:pt idx="438">
                          <c:v>P199</c:v>
                        </c:pt>
                        <c:pt idx="439">
                          <c:v>P227</c:v>
                        </c:pt>
                        <c:pt idx="440">
                          <c:v>P357</c:v>
                        </c:pt>
                        <c:pt idx="441">
                          <c:v>P440</c:v>
                        </c:pt>
                        <c:pt idx="442">
                          <c:v>P441</c:v>
                        </c:pt>
                        <c:pt idx="443">
                          <c:v>P087</c:v>
                        </c:pt>
                        <c:pt idx="444">
                          <c:v>P093</c:v>
                        </c:pt>
                        <c:pt idx="445">
                          <c:v>P097</c:v>
                        </c:pt>
                        <c:pt idx="446">
                          <c:v>P161</c:v>
                        </c:pt>
                        <c:pt idx="447">
                          <c:v>P173</c:v>
                        </c:pt>
                        <c:pt idx="448">
                          <c:v>P339</c:v>
                        </c:pt>
                        <c:pt idx="449">
                          <c:v>P413</c:v>
                        </c:pt>
                        <c:pt idx="450">
                          <c:v>P446</c:v>
                        </c:pt>
                        <c:pt idx="451">
                          <c:v>P475</c:v>
                        </c:pt>
                        <c:pt idx="452">
                          <c:v>P312</c:v>
                        </c:pt>
                        <c:pt idx="453">
                          <c:v>P335</c:v>
                        </c:pt>
                        <c:pt idx="454">
                          <c:v>P361</c:v>
                        </c:pt>
                        <c:pt idx="455">
                          <c:v>P369</c:v>
                        </c:pt>
                        <c:pt idx="456">
                          <c:v>P384</c:v>
                        </c:pt>
                        <c:pt idx="457">
                          <c:v>P417</c:v>
                        </c:pt>
                        <c:pt idx="458">
                          <c:v>P495</c:v>
                        </c:pt>
                        <c:pt idx="459">
                          <c:v>P036</c:v>
                        </c:pt>
                        <c:pt idx="460">
                          <c:v>P054</c:v>
                        </c:pt>
                        <c:pt idx="461">
                          <c:v>P058</c:v>
                        </c:pt>
                        <c:pt idx="462">
                          <c:v>P089</c:v>
                        </c:pt>
                        <c:pt idx="463">
                          <c:v>P137</c:v>
                        </c:pt>
                        <c:pt idx="464">
                          <c:v>P348</c:v>
                        </c:pt>
                        <c:pt idx="465">
                          <c:v>P388</c:v>
                        </c:pt>
                        <c:pt idx="466">
                          <c:v>P449</c:v>
                        </c:pt>
                        <c:pt idx="467">
                          <c:v>P469</c:v>
                        </c:pt>
                        <c:pt idx="468">
                          <c:v>P492</c:v>
                        </c:pt>
                        <c:pt idx="469">
                          <c:v>P079</c:v>
                        </c:pt>
                        <c:pt idx="470">
                          <c:v>P124</c:v>
                        </c:pt>
                        <c:pt idx="471">
                          <c:v>P242</c:v>
                        </c:pt>
                        <c:pt idx="472">
                          <c:v>P278</c:v>
                        </c:pt>
                        <c:pt idx="473">
                          <c:v>P282</c:v>
                        </c:pt>
                        <c:pt idx="474">
                          <c:v>P291</c:v>
                        </c:pt>
                        <c:pt idx="475">
                          <c:v>P306</c:v>
                        </c:pt>
                        <c:pt idx="476">
                          <c:v>P324</c:v>
                        </c:pt>
                        <c:pt idx="477">
                          <c:v>P331</c:v>
                        </c:pt>
                        <c:pt idx="478">
                          <c:v>P351</c:v>
                        </c:pt>
                        <c:pt idx="479">
                          <c:v>P401</c:v>
                        </c:pt>
                        <c:pt idx="480">
                          <c:v>P472</c:v>
                        </c:pt>
                        <c:pt idx="481">
                          <c:v>P030</c:v>
                        </c:pt>
                        <c:pt idx="482">
                          <c:v>P154</c:v>
                        </c:pt>
                        <c:pt idx="483">
                          <c:v>P206</c:v>
                        </c:pt>
                        <c:pt idx="484">
                          <c:v>P207</c:v>
                        </c:pt>
                        <c:pt idx="485">
                          <c:v>P212</c:v>
                        </c:pt>
                        <c:pt idx="486">
                          <c:v>P214</c:v>
                        </c:pt>
                        <c:pt idx="487">
                          <c:v>P216</c:v>
                        </c:pt>
                        <c:pt idx="488">
                          <c:v>P279</c:v>
                        </c:pt>
                        <c:pt idx="489">
                          <c:v>P299</c:v>
                        </c:pt>
                        <c:pt idx="490">
                          <c:v>P355</c:v>
                        </c:pt>
                        <c:pt idx="491">
                          <c:v>P368</c:v>
                        </c:pt>
                        <c:pt idx="492">
                          <c:v>P432</c:v>
                        </c:pt>
                        <c:pt idx="493">
                          <c:v>P493</c:v>
                        </c:pt>
                        <c:pt idx="494">
                          <c:v>P048</c:v>
                        </c:pt>
                        <c:pt idx="495">
                          <c:v>P063</c:v>
                        </c:pt>
                        <c:pt idx="496">
                          <c:v>P269</c:v>
                        </c:pt>
                        <c:pt idx="497">
                          <c:v>P386</c:v>
                        </c:pt>
                        <c:pt idx="498">
                          <c:v>P407</c:v>
                        </c:pt>
                        <c:pt idx="499">
                          <c:v>P454</c:v>
                        </c:pt>
                      </c:lvl>
                      <c:lvl>
                        <c:pt idx="0">
                          <c:v>U001</c:v>
                        </c:pt>
                        <c:pt idx="1">
                          <c:v>U001</c:v>
                        </c:pt>
                        <c:pt idx="2">
                          <c:v>U001</c:v>
                        </c:pt>
                        <c:pt idx="3">
                          <c:v>U001</c:v>
                        </c:pt>
                        <c:pt idx="4">
                          <c:v>U001</c:v>
                        </c:pt>
                        <c:pt idx="5">
                          <c:v>U001</c:v>
                        </c:pt>
                        <c:pt idx="6">
                          <c:v>U001</c:v>
                        </c:pt>
                        <c:pt idx="7">
                          <c:v>U001</c:v>
                        </c:pt>
                        <c:pt idx="8">
                          <c:v>U001</c:v>
                        </c:pt>
                        <c:pt idx="9">
                          <c:v>U001</c:v>
                        </c:pt>
                        <c:pt idx="10">
                          <c:v>U001</c:v>
                        </c:pt>
                        <c:pt idx="11">
                          <c:v>U001</c:v>
                        </c:pt>
                        <c:pt idx="12">
                          <c:v>U002</c:v>
                        </c:pt>
                        <c:pt idx="13">
                          <c:v>U002</c:v>
                        </c:pt>
                        <c:pt idx="14">
                          <c:v>U002</c:v>
                        </c:pt>
                        <c:pt idx="15">
                          <c:v>U002</c:v>
                        </c:pt>
                        <c:pt idx="16">
                          <c:v>U002</c:v>
                        </c:pt>
                        <c:pt idx="17">
                          <c:v>U002</c:v>
                        </c:pt>
                        <c:pt idx="18">
                          <c:v>U002</c:v>
                        </c:pt>
                        <c:pt idx="19">
                          <c:v>U002</c:v>
                        </c:pt>
                        <c:pt idx="20">
                          <c:v>U002</c:v>
                        </c:pt>
                        <c:pt idx="21">
                          <c:v>U002</c:v>
                        </c:pt>
                        <c:pt idx="22">
                          <c:v>U002</c:v>
                        </c:pt>
                        <c:pt idx="23">
                          <c:v>U002</c:v>
                        </c:pt>
                        <c:pt idx="24">
                          <c:v>U002</c:v>
                        </c:pt>
                        <c:pt idx="25">
                          <c:v>U002</c:v>
                        </c:pt>
                        <c:pt idx="26">
                          <c:v>U003</c:v>
                        </c:pt>
                        <c:pt idx="27">
                          <c:v>U003</c:v>
                        </c:pt>
                        <c:pt idx="28">
                          <c:v>U003</c:v>
                        </c:pt>
                        <c:pt idx="29">
                          <c:v>U003</c:v>
                        </c:pt>
                        <c:pt idx="30">
                          <c:v>U003</c:v>
                        </c:pt>
                        <c:pt idx="31">
                          <c:v>U003</c:v>
                        </c:pt>
                        <c:pt idx="32">
                          <c:v>U003</c:v>
                        </c:pt>
                        <c:pt idx="33">
                          <c:v>U003</c:v>
                        </c:pt>
                        <c:pt idx="34">
                          <c:v>U003</c:v>
                        </c:pt>
                        <c:pt idx="35">
                          <c:v>U003</c:v>
                        </c:pt>
                        <c:pt idx="36">
                          <c:v>U003</c:v>
                        </c:pt>
                        <c:pt idx="37">
                          <c:v>U003</c:v>
                        </c:pt>
                        <c:pt idx="38">
                          <c:v>U004</c:v>
                        </c:pt>
                        <c:pt idx="39">
                          <c:v>U004</c:v>
                        </c:pt>
                        <c:pt idx="40">
                          <c:v>U004</c:v>
                        </c:pt>
                        <c:pt idx="41">
                          <c:v>U004</c:v>
                        </c:pt>
                        <c:pt idx="42">
                          <c:v>U004</c:v>
                        </c:pt>
                        <c:pt idx="43">
                          <c:v>U004</c:v>
                        </c:pt>
                        <c:pt idx="44">
                          <c:v>U004</c:v>
                        </c:pt>
                        <c:pt idx="45">
                          <c:v>U004</c:v>
                        </c:pt>
                        <c:pt idx="46">
                          <c:v>U005</c:v>
                        </c:pt>
                        <c:pt idx="47">
                          <c:v>U005</c:v>
                        </c:pt>
                        <c:pt idx="48">
                          <c:v>U005</c:v>
                        </c:pt>
                        <c:pt idx="49">
                          <c:v>U005</c:v>
                        </c:pt>
                        <c:pt idx="50">
                          <c:v>U005</c:v>
                        </c:pt>
                        <c:pt idx="51">
                          <c:v>U005</c:v>
                        </c:pt>
                        <c:pt idx="52">
                          <c:v>U005</c:v>
                        </c:pt>
                        <c:pt idx="53">
                          <c:v>U005</c:v>
                        </c:pt>
                        <c:pt idx="54">
                          <c:v>U005</c:v>
                        </c:pt>
                        <c:pt idx="55">
                          <c:v>U006</c:v>
                        </c:pt>
                        <c:pt idx="56">
                          <c:v>U006</c:v>
                        </c:pt>
                        <c:pt idx="57">
                          <c:v>U006</c:v>
                        </c:pt>
                        <c:pt idx="58">
                          <c:v>U006</c:v>
                        </c:pt>
                        <c:pt idx="59">
                          <c:v>U006</c:v>
                        </c:pt>
                        <c:pt idx="60">
                          <c:v>U006</c:v>
                        </c:pt>
                        <c:pt idx="61">
                          <c:v>U006</c:v>
                        </c:pt>
                        <c:pt idx="62">
                          <c:v>U006</c:v>
                        </c:pt>
                        <c:pt idx="63">
                          <c:v>U006</c:v>
                        </c:pt>
                        <c:pt idx="64">
                          <c:v>U007</c:v>
                        </c:pt>
                        <c:pt idx="65">
                          <c:v>U007</c:v>
                        </c:pt>
                        <c:pt idx="66">
                          <c:v>U007</c:v>
                        </c:pt>
                        <c:pt idx="67">
                          <c:v>U007</c:v>
                        </c:pt>
                        <c:pt idx="68">
                          <c:v>U007</c:v>
                        </c:pt>
                        <c:pt idx="69">
                          <c:v>U007</c:v>
                        </c:pt>
                        <c:pt idx="70">
                          <c:v>U007</c:v>
                        </c:pt>
                        <c:pt idx="71">
                          <c:v>U007</c:v>
                        </c:pt>
                        <c:pt idx="72">
                          <c:v>U007</c:v>
                        </c:pt>
                        <c:pt idx="73">
                          <c:v>U008</c:v>
                        </c:pt>
                        <c:pt idx="74">
                          <c:v>U008</c:v>
                        </c:pt>
                        <c:pt idx="75">
                          <c:v>U008</c:v>
                        </c:pt>
                        <c:pt idx="76">
                          <c:v>U008</c:v>
                        </c:pt>
                        <c:pt idx="77">
                          <c:v>U008</c:v>
                        </c:pt>
                        <c:pt idx="78">
                          <c:v>U008</c:v>
                        </c:pt>
                        <c:pt idx="79">
                          <c:v>U008</c:v>
                        </c:pt>
                        <c:pt idx="80">
                          <c:v>U008</c:v>
                        </c:pt>
                        <c:pt idx="81">
                          <c:v>U008</c:v>
                        </c:pt>
                        <c:pt idx="82">
                          <c:v>U008</c:v>
                        </c:pt>
                        <c:pt idx="83">
                          <c:v>U008</c:v>
                        </c:pt>
                        <c:pt idx="84">
                          <c:v>U008</c:v>
                        </c:pt>
                        <c:pt idx="85">
                          <c:v>U009</c:v>
                        </c:pt>
                        <c:pt idx="86">
                          <c:v>U009</c:v>
                        </c:pt>
                        <c:pt idx="87">
                          <c:v>U009</c:v>
                        </c:pt>
                        <c:pt idx="88">
                          <c:v>U009</c:v>
                        </c:pt>
                        <c:pt idx="89">
                          <c:v>U009</c:v>
                        </c:pt>
                        <c:pt idx="90">
                          <c:v>U009</c:v>
                        </c:pt>
                        <c:pt idx="91">
                          <c:v>U009</c:v>
                        </c:pt>
                        <c:pt idx="92">
                          <c:v>U009</c:v>
                        </c:pt>
                        <c:pt idx="93">
                          <c:v>U009</c:v>
                        </c:pt>
                        <c:pt idx="94">
                          <c:v>U009</c:v>
                        </c:pt>
                        <c:pt idx="95">
                          <c:v>U010</c:v>
                        </c:pt>
                        <c:pt idx="96">
                          <c:v>U011</c:v>
                        </c:pt>
                        <c:pt idx="97">
                          <c:v>U011</c:v>
                        </c:pt>
                        <c:pt idx="98">
                          <c:v>U011</c:v>
                        </c:pt>
                        <c:pt idx="99">
                          <c:v>U011</c:v>
                        </c:pt>
                        <c:pt idx="100">
                          <c:v>U011</c:v>
                        </c:pt>
                        <c:pt idx="101">
                          <c:v>U011</c:v>
                        </c:pt>
                        <c:pt idx="102">
                          <c:v>U011</c:v>
                        </c:pt>
                        <c:pt idx="103">
                          <c:v>U011</c:v>
                        </c:pt>
                        <c:pt idx="104">
                          <c:v>U012</c:v>
                        </c:pt>
                        <c:pt idx="105">
                          <c:v>U012</c:v>
                        </c:pt>
                        <c:pt idx="106">
                          <c:v>U012</c:v>
                        </c:pt>
                        <c:pt idx="107">
                          <c:v>U012</c:v>
                        </c:pt>
                        <c:pt idx="108">
                          <c:v>U012</c:v>
                        </c:pt>
                        <c:pt idx="109">
                          <c:v>U012</c:v>
                        </c:pt>
                        <c:pt idx="110">
                          <c:v>U012</c:v>
                        </c:pt>
                        <c:pt idx="111">
                          <c:v>U012</c:v>
                        </c:pt>
                        <c:pt idx="112">
                          <c:v>U012</c:v>
                        </c:pt>
                        <c:pt idx="113">
                          <c:v>U013</c:v>
                        </c:pt>
                        <c:pt idx="114">
                          <c:v>U013</c:v>
                        </c:pt>
                        <c:pt idx="115">
                          <c:v>U013</c:v>
                        </c:pt>
                        <c:pt idx="116">
                          <c:v>U013</c:v>
                        </c:pt>
                        <c:pt idx="117">
                          <c:v>U013</c:v>
                        </c:pt>
                        <c:pt idx="118">
                          <c:v>U014</c:v>
                        </c:pt>
                        <c:pt idx="119">
                          <c:v>U014</c:v>
                        </c:pt>
                        <c:pt idx="120">
                          <c:v>U014</c:v>
                        </c:pt>
                        <c:pt idx="121">
                          <c:v>U014</c:v>
                        </c:pt>
                        <c:pt idx="122">
                          <c:v>U014</c:v>
                        </c:pt>
                        <c:pt idx="123">
                          <c:v>U014</c:v>
                        </c:pt>
                        <c:pt idx="124">
                          <c:v>U014</c:v>
                        </c:pt>
                        <c:pt idx="125">
                          <c:v>U014</c:v>
                        </c:pt>
                        <c:pt idx="126">
                          <c:v>U014</c:v>
                        </c:pt>
                        <c:pt idx="127">
                          <c:v>U015</c:v>
                        </c:pt>
                        <c:pt idx="128">
                          <c:v>U015</c:v>
                        </c:pt>
                        <c:pt idx="129">
                          <c:v>U015</c:v>
                        </c:pt>
                        <c:pt idx="130">
                          <c:v>U015</c:v>
                        </c:pt>
                        <c:pt idx="131">
                          <c:v>U015</c:v>
                        </c:pt>
                        <c:pt idx="132">
                          <c:v>U015</c:v>
                        </c:pt>
                        <c:pt idx="133">
                          <c:v>U015</c:v>
                        </c:pt>
                        <c:pt idx="134">
                          <c:v>U015</c:v>
                        </c:pt>
                        <c:pt idx="135">
                          <c:v>U015</c:v>
                        </c:pt>
                        <c:pt idx="136">
                          <c:v>U015</c:v>
                        </c:pt>
                        <c:pt idx="137">
                          <c:v>U016</c:v>
                        </c:pt>
                        <c:pt idx="138">
                          <c:v>U016</c:v>
                        </c:pt>
                        <c:pt idx="139">
                          <c:v>U016</c:v>
                        </c:pt>
                        <c:pt idx="140">
                          <c:v>U016</c:v>
                        </c:pt>
                        <c:pt idx="141">
                          <c:v>U016</c:v>
                        </c:pt>
                        <c:pt idx="142">
                          <c:v>U016</c:v>
                        </c:pt>
                        <c:pt idx="143">
                          <c:v>U016</c:v>
                        </c:pt>
                        <c:pt idx="144">
                          <c:v>U016</c:v>
                        </c:pt>
                        <c:pt idx="145">
                          <c:v>U016</c:v>
                        </c:pt>
                        <c:pt idx="146">
                          <c:v>U016</c:v>
                        </c:pt>
                        <c:pt idx="147">
                          <c:v>U016</c:v>
                        </c:pt>
                        <c:pt idx="148">
                          <c:v>U016</c:v>
                        </c:pt>
                        <c:pt idx="149">
                          <c:v>U017</c:v>
                        </c:pt>
                        <c:pt idx="150">
                          <c:v>U017</c:v>
                        </c:pt>
                        <c:pt idx="151">
                          <c:v>U017</c:v>
                        </c:pt>
                        <c:pt idx="152">
                          <c:v>U017</c:v>
                        </c:pt>
                        <c:pt idx="153">
                          <c:v>U017</c:v>
                        </c:pt>
                        <c:pt idx="154">
                          <c:v>U017</c:v>
                        </c:pt>
                        <c:pt idx="155">
                          <c:v>U017</c:v>
                        </c:pt>
                        <c:pt idx="156">
                          <c:v>U017</c:v>
                        </c:pt>
                        <c:pt idx="157">
                          <c:v>U018</c:v>
                        </c:pt>
                        <c:pt idx="158">
                          <c:v>U018</c:v>
                        </c:pt>
                        <c:pt idx="159">
                          <c:v>U018</c:v>
                        </c:pt>
                        <c:pt idx="160">
                          <c:v>U018</c:v>
                        </c:pt>
                        <c:pt idx="161">
                          <c:v>U018</c:v>
                        </c:pt>
                        <c:pt idx="162">
                          <c:v>U018</c:v>
                        </c:pt>
                        <c:pt idx="163">
                          <c:v>U018</c:v>
                        </c:pt>
                        <c:pt idx="164">
                          <c:v>U019</c:v>
                        </c:pt>
                        <c:pt idx="165">
                          <c:v>U019</c:v>
                        </c:pt>
                        <c:pt idx="166">
                          <c:v>U019</c:v>
                        </c:pt>
                        <c:pt idx="167">
                          <c:v>U019</c:v>
                        </c:pt>
                        <c:pt idx="168">
                          <c:v>U019</c:v>
                        </c:pt>
                        <c:pt idx="169">
                          <c:v>U019</c:v>
                        </c:pt>
                        <c:pt idx="170">
                          <c:v>U019</c:v>
                        </c:pt>
                        <c:pt idx="171">
                          <c:v>U019</c:v>
                        </c:pt>
                        <c:pt idx="172">
                          <c:v>U020</c:v>
                        </c:pt>
                        <c:pt idx="173">
                          <c:v>U020</c:v>
                        </c:pt>
                        <c:pt idx="174">
                          <c:v>U020</c:v>
                        </c:pt>
                        <c:pt idx="175">
                          <c:v>U020</c:v>
                        </c:pt>
                        <c:pt idx="176">
                          <c:v>U020</c:v>
                        </c:pt>
                        <c:pt idx="177">
                          <c:v>U020</c:v>
                        </c:pt>
                        <c:pt idx="178">
                          <c:v>U020</c:v>
                        </c:pt>
                        <c:pt idx="179">
                          <c:v>U020</c:v>
                        </c:pt>
                        <c:pt idx="180">
                          <c:v>U021</c:v>
                        </c:pt>
                        <c:pt idx="181">
                          <c:v>U021</c:v>
                        </c:pt>
                        <c:pt idx="182">
                          <c:v>U021</c:v>
                        </c:pt>
                        <c:pt idx="183">
                          <c:v>U021</c:v>
                        </c:pt>
                        <c:pt idx="184">
                          <c:v>U021</c:v>
                        </c:pt>
                        <c:pt idx="185">
                          <c:v>U021</c:v>
                        </c:pt>
                        <c:pt idx="186">
                          <c:v>U021</c:v>
                        </c:pt>
                        <c:pt idx="187">
                          <c:v>U022</c:v>
                        </c:pt>
                        <c:pt idx="188">
                          <c:v>U022</c:v>
                        </c:pt>
                        <c:pt idx="189">
                          <c:v>U022</c:v>
                        </c:pt>
                        <c:pt idx="190">
                          <c:v>U022</c:v>
                        </c:pt>
                        <c:pt idx="191">
                          <c:v>U022</c:v>
                        </c:pt>
                        <c:pt idx="192">
                          <c:v>U022</c:v>
                        </c:pt>
                        <c:pt idx="193">
                          <c:v>U022</c:v>
                        </c:pt>
                        <c:pt idx="194">
                          <c:v>U022</c:v>
                        </c:pt>
                        <c:pt idx="195">
                          <c:v>U022</c:v>
                        </c:pt>
                        <c:pt idx="196">
                          <c:v>U022</c:v>
                        </c:pt>
                        <c:pt idx="197">
                          <c:v>U022</c:v>
                        </c:pt>
                        <c:pt idx="198">
                          <c:v>U022</c:v>
                        </c:pt>
                        <c:pt idx="199">
                          <c:v>U022</c:v>
                        </c:pt>
                        <c:pt idx="200">
                          <c:v>U023</c:v>
                        </c:pt>
                        <c:pt idx="201">
                          <c:v>U023</c:v>
                        </c:pt>
                        <c:pt idx="202">
                          <c:v>U023</c:v>
                        </c:pt>
                        <c:pt idx="203">
                          <c:v>U023</c:v>
                        </c:pt>
                        <c:pt idx="204">
                          <c:v>U023</c:v>
                        </c:pt>
                        <c:pt idx="205">
                          <c:v>U023</c:v>
                        </c:pt>
                        <c:pt idx="206">
                          <c:v>U023</c:v>
                        </c:pt>
                        <c:pt idx="207">
                          <c:v>U023</c:v>
                        </c:pt>
                        <c:pt idx="208">
                          <c:v>U023</c:v>
                        </c:pt>
                        <c:pt idx="209">
                          <c:v>U023</c:v>
                        </c:pt>
                        <c:pt idx="210">
                          <c:v>U023</c:v>
                        </c:pt>
                        <c:pt idx="211">
                          <c:v>U024</c:v>
                        </c:pt>
                        <c:pt idx="212">
                          <c:v>U024</c:v>
                        </c:pt>
                        <c:pt idx="213">
                          <c:v>U024</c:v>
                        </c:pt>
                        <c:pt idx="214">
                          <c:v>U024</c:v>
                        </c:pt>
                        <c:pt idx="215">
                          <c:v>U024</c:v>
                        </c:pt>
                        <c:pt idx="216">
                          <c:v>U024</c:v>
                        </c:pt>
                        <c:pt idx="217">
                          <c:v>U024</c:v>
                        </c:pt>
                        <c:pt idx="218">
                          <c:v>U024</c:v>
                        </c:pt>
                        <c:pt idx="219">
                          <c:v>U024</c:v>
                        </c:pt>
                        <c:pt idx="220">
                          <c:v>U024</c:v>
                        </c:pt>
                        <c:pt idx="221">
                          <c:v>U024</c:v>
                        </c:pt>
                        <c:pt idx="222">
                          <c:v>U024</c:v>
                        </c:pt>
                        <c:pt idx="223">
                          <c:v>U024</c:v>
                        </c:pt>
                        <c:pt idx="224">
                          <c:v>U024</c:v>
                        </c:pt>
                        <c:pt idx="225">
                          <c:v>U024</c:v>
                        </c:pt>
                        <c:pt idx="226">
                          <c:v>U025</c:v>
                        </c:pt>
                        <c:pt idx="227">
                          <c:v>U025</c:v>
                        </c:pt>
                        <c:pt idx="228">
                          <c:v>U025</c:v>
                        </c:pt>
                        <c:pt idx="229">
                          <c:v>U025</c:v>
                        </c:pt>
                        <c:pt idx="230">
                          <c:v>U025</c:v>
                        </c:pt>
                        <c:pt idx="231">
                          <c:v>U025</c:v>
                        </c:pt>
                        <c:pt idx="232">
                          <c:v>U025</c:v>
                        </c:pt>
                        <c:pt idx="233">
                          <c:v>U025</c:v>
                        </c:pt>
                        <c:pt idx="234">
                          <c:v>U025</c:v>
                        </c:pt>
                        <c:pt idx="235">
                          <c:v>U025</c:v>
                        </c:pt>
                        <c:pt idx="236">
                          <c:v>U025</c:v>
                        </c:pt>
                        <c:pt idx="237">
                          <c:v>U025</c:v>
                        </c:pt>
                        <c:pt idx="238">
                          <c:v>U026</c:v>
                        </c:pt>
                        <c:pt idx="239">
                          <c:v>U026</c:v>
                        </c:pt>
                        <c:pt idx="240">
                          <c:v>U026</c:v>
                        </c:pt>
                        <c:pt idx="241">
                          <c:v>U026</c:v>
                        </c:pt>
                        <c:pt idx="242">
                          <c:v>U026</c:v>
                        </c:pt>
                        <c:pt idx="243">
                          <c:v>U026</c:v>
                        </c:pt>
                        <c:pt idx="244">
                          <c:v>U026</c:v>
                        </c:pt>
                        <c:pt idx="245">
                          <c:v>U026</c:v>
                        </c:pt>
                        <c:pt idx="246">
                          <c:v>U026</c:v>
                        </c:pt>
                        <c:pt idx="247">
                          <c:v>U026</c:v>
                        </c:pt>
                        <c:pt idx="248">
                          <c:v>U026</c:v>
                        </c:pt>
                        <c:pt idx="249">
                          <c:v>U026</c:v>
                        </c:pt>
                        <c:pt idx="250">
                          <c:v>U026</c:v>
                        </c:pt>
                        <c:pt idx="251">
                          <c:v>U026</c:v>
                        </c:pt>
                        <c:pt idx="252">
                          <c:v>U026</c:v>
                        </c:pt>
                        <c:pt idx="253">
                          <c:v>U027</c:v>
                        </c:pt>
                        <c:pt idx="254">
                          <c:v>U027</c:v>
                        </c:pt>
                        <c:pt idx="255">
                          <c:v>U027</c:v>
                        </c:pt>
                        <c:pt idx="256">
                          <c:v>U027</c:v>
                        </c:pt>
                        <c:pt idx="257">
                          <c:v>U027</c:v>
                        </c:pt>
                        <c:pt idx="258">
                          <c:v>U027</c:v>
                        </c:pt>
                        <c:pt idx="259">
                          <c:v>U027</c:v>
                        </c:pt>
                        <c:pt idx="260">
                          <c:v>U027</c:v>
                        </c:pt>
                        <c:pt idx="261">
                          <c:v>U028</c:v>
                        </c:pt>
                        <c:pt idx="262">
                          <c:v>U028</c:v>
                        </c:pt>
                        <c:pt idx="263">
                          <c:v>U028</c:v>
                        </c:pt>
                        <c:pt idx="264">
                          <c:v>U028</c:v>
                        </c:pt>
                        <c:pt idx="265">
                          <c:v>U028</c:v>
                        </c:pt>
                        <c:pt idx="266">
                          <c:v>U028</c:v>
                        </c:pt>
                        <c:pt idx="267">
                          <c:v>U028</c:v>
                        </c:pt>
                        <c:pt idx="268">
                          <c:v>U028</c:v>
                        </c:pt>
                        <c:pt idx="269">
                          <c:v>U028</c:v>
                        </c:pt>
                        <c:pt idx="270">
                          <c:v>U028</c:v>
                        </c:pt>
                        <c:pt idx="271">
                          <c:v>U028</c:v>
                        </c:pt>
                        <c:pt idx="272">
                          <c:v>U028</c:v>
                        </c:pt>
                        <c:pt idx="273">
                          <c:v>U028</c:v>
                        </c:pt>
                        <c:pt idx="274">
                          <c:v>U028</c:v>
                        </c:pt>
                        <c:pt idx="275">
                          <c:v>U029</c:v>
                        </c:pt>
                        <c:pt idx="276">
                          <c:v>U029</c:v>
                        </c:pt>
                        <c:pt idx="277">
                          <c:v>U029</c:v>
                        </c:pt>
                        <c:pt idx="278">
                          <c:v>U029</c:v>
                        </c:pt>
                        <c:pt idx="279">
                          <c:v>U029</c:v>
                        </c:pt>
                        <c:pt idx="280">
                          <c:v>U029</c:v>
                        </c:pt>
                        <c:pt idx="281">
                          <c:v>U029</c:v>
                        </c:pt>
                        <c:pt idx="282">
                          <c:v>U029</c:v>
                        </c:pt>
                        <c:pt idx="283">
                          <c:v>U029</c:v>
                        </c:pt>
                        <c:pt idx="284">
                          <c:v>U029</c:v>
                        </c:pt>
                        <c:pt idx="285">
                          <c:v>U029</c:v>
                        </c:pt>
                        <c:pt idx="286">
                          <c:v>U030</c:v>
                        </c:pt>
                        <c:pt idx="287">
                          <c:v>U030</c:v>
                        </c:pt>
                        <c:pt idx="288">
                          <c:v>U030</c:v>
                        </c:pt>
                        <c:pt idx="289">
                          <c:v>U030</c:v>
                        </c:pt>
                        <c:pt idx="290">
                          <c:v>U030</c:v>
                        </c:pt>
                        <c:pt idx="291">
                          <c:v>U030</c:v>
                        </c:pt>
                        <c:pt idx="292">
                          <c:v>U030</c:v>
                        </c:pt>
                        <c:pt idx="293">
                          <c:v>U030</c:v>
                        </c:pt>
                        <c:pt idx="294">
                          <c:v>U030</c:v>
                        </c:pt>
                        <c:pt idx="295">
                          <c:v>U030</c:v>
                        </c:pt>
                        <c:pt idx="296">
                          <c:v>U031</c:v>
                        </c:pt>
                        <c:pt idx="297">
                          <c:v>U031</c:v>
                        </c:pt>
                        <c:pt idx="298">
                          <c:v>U031</c:v>
                        </c:pt>
                        <c:pt idx="299">
                          <c:v>U031</c:v>
                        </c:pt>
                        <c:pt idx="300">
                          <c:v>U032</c:v>
                        </c:pt>
                        <c:pt idx="301">
                          <c:v>U032</c:v>
                        </c:pt>
                        <c:pt idx="302">
                          <c:v>U032</c:v>
                        </c:pt>
                        <c:pt idx="303">
                          <c:v>U032</c:v>
                        </c:pt>
                        <c:pt idx="304">
                          <c:v>U032</c:v>
                        </c:pt>
                        <c:pt idx="305">
                          <c:v>U032</c:v>
                        </c:pt>
                        <c:pt idx="306">
                          <c:v>U032</c:v>
                        </c:pt>
                        <c:pt idx="307">
                          <c:v>U032</c:v>
                        </c:pt>
                        <c:pt idx="308">
                          <c:v>U032</c:v>
                        </c:pt>
                        <c:pt idx="309">
                          <c:v>U032</c:v>
                        </c:pt>
                        <c:pt idx="310">
                          <c:v>U032</c:v>
                        </c:pt>
                        <c:pt idx="311">
                          <c:v>U032</c:v>
                        </c:pt>
                        <c:pt idx="312">
                          <c:v>U032</c:v>
                        </c:pt>
                        <c:pt idx="313">
                          <c:v>U032</c:v>
                        </c:pt>
                        <c:pt idx="314">
                          <c:v>U032</c:v>
                        </c:pt>
                        <c:pt idx="315">
                          <c:v>U033</c:v>
                        </c:pt>
                        <c:pt idx="316">
                          <c:v>U033</c:v>
                        </c:pt>
                        <c:pt idx="317">
                          <c:v>U033</c:v>
                        </c:pt>
                        <c:pt idx="318">
                          <c:v>U033</c:v>
                        </c:pt>
                        <c:pt idx="319">
                          <c:v>U033</c:v>
                        </c:pt>
                        <c:pt idx="320">
                          <c:v>U033</c:v>
                        </c:pt>
                        <c:pt idx="321">
                          <c:v>U033</c:v>
                        </c:pt>
                        <c:pt idx="322">
                          <c:v>U033</c:v>
                        </c:pt>
                        <c:pt idx="323">
                          <c:v>U033</c:v>
                        </c:pt>
                        <c:pt idx="324">
                          <c:v>U033</c:v>
                        </c:pt>
                        <c:pt idx="325">
                          <c:v>U033</c:v>
                        </c:pt>
                        <c:pt idx="326">
                          <c:v>U033</c:v>
                        </c:pt>
                        <c:pt idx="327">
                          <c:v>U033</c:v>
                        </c:pt>
                        <c:pt idx="328">
                          <c:v>U033</c:v>
                        </c:pt>
                        <c:pt idx="329">
                          <c:v>U033</c:v>
                        </c:pt>
                        <c:pt idx="330">
                          <c:v>U033</c:v>
                        </c:pt>
                        <c:pt idx="331">
                          <c:v>U033</c:v>
                        </c:pt>
                        <c:pt idx="332">
                          <c:v>U033</c:v>
                        </c:pt>
                        <c:pt idx="333">
                          <c:v>U034</c:v>
                        </c:pt>
                        <c:pt idx="334">
                          <c:v>U034</c:v>
                        </c:pt>
                        <c:pt idx="335">
                          <c:v>U034</c:v>
                        </c:pt>
                        <c:pt idx="336">
                          <c:v>U034</c:v>
                        </c:pt>
                        <c:pt idx="337">
                          <c:v>U034</c:v>
                        </c:pt>
                        <c:pt idx="338">
                          <c:v>U034</c:v>
                        </c:pt>
                        <c:pt idx="339">
                          <c:v>U035</c:v>
                        </c:pt>
                        <c:pt idx="340">
                          <c:v>U035</c:v>
                        </c:pt>
                        <c:pt idx="341">
                          <c:v>U035</c:v>
                        </c:pt>
                        <c:pt idx="342">
                          <c:v>U035</c:v>
                        </c:pt>
                        <c:pt idx="343">
                          <c:v>U035</c:v>
                        </c:pt>
                        <c:pt idx="344">
                          <c:v>U035</c:v>
                        </c:pt>
                        <c:pt idx="345">
                          <c:v>U035</c:v>
                        </c:pt>
                        <c:pt idx="346">
                          <c:v>U035</c:v>
                        </c:pt>
                        <c:pt idx="347">
                          <c:v>U035</c:v>
                        </c:pt>
                        <c:pt idx="348">
                          <c:v>U035</c:v>
                        </c:pt>
                        <c:pt idx="349">
                          <c:v>U035</c:v>
                        </c:pt>
                        <c:pt idx="350">
                          <c:v>U035</c:v>
                        </c:pt>
                        <c:pt idx="351">
                          <c:v>U035</c:v>
                        </c:pt>
                        <c:pt idx="352">
                          <c:v>U035</c:v>
                        </c:pt>
                        <c:pt idx="353">
                          <c:v>U035</c:v>
                        </c:pt>
                        <c:pt idx="354">
                          <c:v>U035</c:v>
                        </c:pt>
                        <c:pt idx="355">
                          <c:v>U036</c:v>
                        </c:pt>
                        <c:pt idx="356">
                          <c:v>U036</c:v>
                        </c:pt>
                        <c:pt idx="357">
                          <c:v>U036</c:v>
                        </c:pt>
                        <c:pt idx="358">
                          <c:v>U036</c:v>
                        </c:pt>
                        <c:pt idx="359">
                          <c:v>U036</c:v>
                        </c:pt>
                        <c:pt idx="360">
                          <c:v>U036</c:v>
                        </c:pt>
                        <c:pt idx="361">
                          <c:v>U036</c:v>
                        </c:pt>
                        <c:pt idx="362">
                          <c:v>U036</c:v>
                        </c:pt>
                        <c:pt idx="363">
                          <c:v>U037</c:v>
                        </c:pt>
                        <c:pt idx="364">
                          <c:v>U037</c:v>
                        </c:pt>
                        <c:pt idx="365">
                          <c:v>U037</c:v>
                        </c:pt>
                        <c:pt idx="366">
                          <c:v>U037</c:v>
                        </c:pt>
                        <c:pt idx="367">
                          <c:v>U037</c:v>
                        </c:pt>
                        <c:pt idx="368">
                          <c:v>U037</c:v>
                        </c:pt>
                        <c:pt idx="369">
                          <c:v>U037</c:v>
                        </c:pt>
                        <c:pt idx="370">
                          <c:v>U037</c:v>
                        </c:pt>
                        <c:pt idx="371">
                          <c:v>U037</c:v>
                        </c:pt>
                        <c:pt idx="372">
                          <c:v>U037</c:v>
                        </c:pt>
                        <c:pt idx="373">
                          <c:v>U037</c:v>
                        </c:pt>
                        <c:pt idx="374">
                          <c:v>U037</c:v>
                        </c:pt>
                        <c:pt idx="375">
                          <c:v>U038</c:v>
                        </c:pt>
                        <c:pt idx="376">
                          <c:v>U038</c:v>
                        </c:pt>
                        <c:pt idx="377">
                          <c:v>U038</c:v>
                        </c:pt>
                        <c:pt idx="378">
                          <c:v>U038</c:v>
                        </c:pt>
                        <c:pt idx="379">
                          <c:v>U038</c:v>
                        </c:pt>
                        <c:pt idx="380">
                          <c:v>U039</c:v>
                        </c:pt>
                        <c:pt idx="381">
                          <c:v>U039</c:v>
                        </c:pt>
                        <c:pt idx="382">
                          <c:v>U039</c:v>
                        </c:pt>
                        <c:pt idx="383">
                          <c:v>U039</c:v>
                        </c:pt>
                        <c:pt idx="384">
                          <c:v>U039</c:v>
                        </c:pt>
                        <c:pt idx="385">
                          <c:v>U039</c:v>
                        </c:pt>
                        <c:pt idx="386">
                          <c:v>U039</c:v>
                        </c:pt>
                        <c:pt idx="387">
                          <c:v>U039</c:v>
                        </c:pt>
                        <c:pt idx="388">
                          <c:v>U039</c:v>
                        </c:pt>
                        <c:pt idx="389">
                          <c:v>U039</c:v>
                        </c:pt>
                        <c:pt idx="390">
                          <c:v>U039</c:v>
                        </c:pt>
                        <c:pt idx="391">
                          <c:v>U039</c:v>
                        </c:pt>
                        <c:pt idx="392">
                          <c:v>U039</c:v>
                        </c:pt>
                        <c:pt idx="393">
                          <c:v>U039</c:v>
                        </c:pt>
                        <c:pt idx="394">
                          <c:v>U040</c:v>
                        </c:pt>
                        <c:pt idx="395">
                          <c:v>U040</c:v>
                        </c:pt>
                        <c:pt idx="396">
                          <c:v>U040</c:v>
                        </c:pt>
                        <c:pt idx="397">
                          <c:v>U040</c:v>
                        </c:pt>
                        <c:pt idx="398">
                          <c:v>U040</c:v>
                        </c:pt>
                        <c:pt idx="399">
                          <c:v>U040</c:v>
                        </c:pt>
                        <c:pt idx="400">
                          <c:v>U040</c:v>
                        </c:pt>
                        <c:pt idx="401">
                          <c:v>U040</c:v>
                        </c:pt>
                        <c:pt idx="402">
                          <c:v>U040</c:v>
                        </c:pt>
                        <c:pt idx="403">
                          <c:v>U040</c:v>
                        </c:pt>
                        <c:pt idx="404">
                          <c:v>U040</c:v>
                        </c:pt>
                        <c:pt idx="405">
                          <c:v>U041</c:v>
                        </c:pt>
                        <c:pt idx="406">
                          <c:v>U041</c:v>
                        </c:pt>
                        <c:pt idx="407">
                          <c:v>U041</c:v>
                        </c:pt>
                        <c:pt idx="408">
                          <c:v>U041</c:v>
                        </c:pt>
                        <c:pt idx="409">
                          <c:v>U041</c:v>
                        </c:pt>
                        <c:pt idx="410">
                          <c:v>U041</c:v>
                        </c:pt>
                        <c:pt idx="411">
                          <c:v>U041</c:v>
                        </c:pt>
                        <c:pt idx="412">
                          <c:v>U041</c:v>
                        </c:pt>
                        <c:pt idx="413">
                          <c:v>U042</c:v>
                        </c:pt>
                        <c:pt idx="414">
                          <c:v>U042</c:v>
                        </c:pt>
                        <c:pt idx="415">
                          <c:v>U042</c:v>
                        </c:pt>
                        <c:pt idx="416">
                          <c:v>U042</c:v>
                        </c:pt>
                        <c:pt idx="417">
                          <c:v>U042</c:v>
                        </c:pt>
                        <c:pt idx="418">
                          <c:v>U042</c:v>
                        </c:pt>
                        <c:pt idx="419">
                          <c:v>U042</c:v>
                        </c:pt>
                        <c:pt idx="420">
                          <c:v>U042</c:v>
                        </c:pt>
                        <c:pt idx="421">
                          <c:v>U042</c:v>
                        </c:pt>
                        <c:pt idx="422">
                          <c:v>U042</c:v>
                        </c:pt>
                        <c:pt idx="423">
                          <c:v>U042</c:v>
                        </c:pt>
                        <c:pt idx="424">
                          <c:v>U042</c:v>
                        </c:pt>
                        <c:pt idx="425">
                          <c:v>U043</c:v>
                        </c:pt>
                        <c:pt idx="426">
                          <c:v>U043</c:v>
                        </c:pt>
                        <c:pt idx="427">
                          <c:v>U043</c:v>
                        </c:pt>
                        <c:pt idx="428">
                          <c:v>U043</c:v>
                        </c:pt>
                        <c:pt idx="429">
                          <c:v>U044</c:v>
                        </c:pt>
                        <c:pt idx="430">
                          <c:v>U044</c:v>
                        </c:pt>
                        <c:pt idx="431">
                          <c:v>U044</c:v>
                        </c:pt>
                        <c:pt idx="432">
                          <c:v>U044</c:v>
                        </c:pt>
                        <c:pt idx="433">
                          <c:v>U044</c:v>
                        </c:pt>
                        <c:pt idx="434">
                          <c:v>U044</c:v>
                        </c:pt>
                        <c:pt idx="435">
                          <c:v>U044</c:v>
                        </c:pt>
                        <c:pt idx="436">
                          <c:v>U044</c:v>
                        </c:pt>
                        <c:pt idx="437">
                          <c:v>U044</c:v>
                        </c:pt>
                        <c:pt idx="438">
                          <c:v>U044</c:v>
                        </c:pt>
                        <c:pt idx="439">
                          <c:v>U044</c:v>
                        </c:pt>
                        <c:pt idx="440">
                          <c:v>U044</c:v>
                        </c:pt>
                        <c:pt idx="441">
                          <c:v>U044</c:v>
                        </c:pt>
                        <c:pt idx="442">
                          <c:v>U044</c:v>
                        </c:pt>
                        <c:pt idx="443">
                          <c:v>U045</c:v>
                        </c:pt>
                        <c:pt idx="444">
                          <c:v>U045</c:v>
                        </c:pt>
                        <c:pt idx="445">
                          <c:v>U045</c:v>
                        </c:pt>
                        <c:pt idx="446">
                          <c:v>U045</c:v>
                        </c:pt>
                        <c:pt idx="447">
                          <c:v>U045</c:v>
                        </c:pt>
                        <c:pt idx="448">
                          <c:v>U045</c:v>
                        </c:pt>
                        <c:pt idx="449">
                          <c:v>U045</c:v>
                        </c:pt>
                        <c:pt idx="450">
                          <c:v>U045</c:v>
                        </c:pt>
                        <c:pt idx="451">
                          <c:v>U045</c:v>
                        </c:pt>
                        <c:pt idx="452">
                          <c:v>U046</c:v>
                        </c:pt>
                        <c:pt idx="453">
                          <c:v>U046</c:v>
                        </c:pt>
                        <c:pt idx="454">
                          <c:v>U046</c:v>
                        </c:pt>
                        <c:pt idx="455">
                          <c:v>U046</c:v>
                        </c:pt>
                        <c:pt idx="456">
                          <c:v>U046</c:v>
                        </c:pt>
                        <c:pt idx="457">
                          <c:v>U046</c:v>
                        </c:pt>
                        <c:pt idx="458">
                          <c:v>U046</c:v>
                        </c:pt>
                        <c:pt idx="459">
                          <c:v>U047</c:v>
                        </c:pt>
                        <c:pt idx="460">
                          <c:v>U047</c:v>
                        </c:pt>
                        <c:pt idx="461">
                          <c:v>U047</c:v>
                        </c:pt>
                        <c:pt idx="462">
                          <c:v>U047</c:v>
                        </c:pt>
                        <c:pt idx="463">
                          <c:v>U047</c:v>
                        </c:pt>
                        <c:pt idx="464">
                          <c:v>U047</c:v>
                        </c:pt>
                        <c:pt idx="465">
                          <c:v>U047</c:v>
                        </c:pt>
                        <c:pt idx="466">
                          <c:v>U047</c:v>
                        </c:pt>
                        <c:pt idx="467">
                          <c:v>U047</c:v>
                        </c:pt>
                        <c:pt idx="468">
                          <c:v>U047</c:v>
                        </c:pt>
                        <c:pt idx="469">
                          <c:v>U048</c:v>
                        </c:pt>
                        <c:pt idx="470">
                          <c:v>U048</c:v>
                        </c:pt>
                        <c:pt idx="471">
                          <c:v>U048</c:v>
                        </c:pt>
                        <c:pt idx="472">
                          <c:v>U048</c:v>
                        </c:pt>
                        <c:pt idx="473">
                          <c:v>U048</c:v>
                        </c:pt>
                        <c:pt idx="474">
                          <c:v>U048</c:v>
                        </c:pt>
                        <c:pt idx="475">
                          <c:v>U048</c:v>
                        </c:pt>
                        <c:pt idx="476">
                          <c:v>U048</c:v>
                        </c:pt>
                        <c:pt idx="477">
                          <c:v>U048</c:v>
                        </c:pt>
                        <c:pt idx="478">
                          <c:v>U048</c:v>
                        </c:pt>
                        <c:pt idx="479">
                          <c:v>U048</c:v>
                        </c:pt>
                        <c:pt idx="480">
                          <c:v>U048</c:v>
                        </c:pt>
                        <c:pt idx="481">
                          <c:v>U049</c:v>
                        </c:pt>
                        <c:pt idx="482">
                          <c:v>U049</c:v>
                        </c:pt>
                        <c:pt idx="483">
                          <c:v>U049</c:v>
                        </c:pt>
                        <c:pt idx="484">
                          <c:v>U049</c:v>
                        </c:pt>
                        <c:pt idx="485">
                          <c:v>U049</c:v>
                        </c:pt>
                        <c:pt idx="486">
                          <c:v>U049</c:v>
                        </c:pt>
                        <c:pt idx="487">
                          <c:v>U049</c:v>
                        </c:pt>
                        <c:pt idx="488">
                          <c:v>U049</c:v>
                        </c:pt>
                        <c:pt idx="489">
                          <c:v>U049</c:v>
                        </c:pt>
                        <c:pt idx="490">
                          <c:v>U049</c:v>
                        </c:pt>
                        <c:pt idx="491">
                          <c:v>U049</c:v>
                        </c:pt>
                        <c:pt idx="492">
                          <c:v>U049</c:v>
                        </c:pt>
                        <c:pt idx="493">
                          <c:v>U049</c:v>
                        </c:pt>
                        <c:pt idx="494">
                          <c:v>U050</c:v>
                        </c:pt>
                        <c:pt idx="495">
                          <c:v>U050</c:v>
                        </c:pt>
                        <c:pt idx="496">
                          <c:v>U050</c:v>
                        </c:pt>
                        <c:pt idx="497">
                          <c:v>U050</c:v>
                        </c:pt>
                        <c:pt idx="498">
                          <c:v>U050</c:v>
                        </c:pt>
                        <c:pt idx="499">
                          <c:v>U050</c:v>
                        </c:pt>
                      </c:lvl>
                    </c:multiLvlStrCache>
                  </c:multiLvlStrRef>
                </c:xVal>
                <c:yVal>
                  <c:numRef>
                    <c:extLst>
                      <c:ext xmlns:c15="http://schemas.microsoft.com/office/drawing/2012/chart" uri="{02D57815-91ED-43cb-92C2-25804820EDAC}">
                        <c15:formulaRef>
                          <c15:sqref>User_data!$G$3:$G$502</c15:sqref>
                        </c15:formulaRef>
                      </c:ext>
                    </c:extLst>
                    <c:numCache>
                      <c:formatCode>General</c:formatCode>
                      <c:ptCount val="500"/>
                      <c:pt idx="0">
                        <c:v>5</c:v>
                      </c:pt>
                      <c:pt idx="1">
                        <c:v>5</c:v>
                      </c:pt>
                      <c:pt idx="2">
                        <c:v>0</c:v>
                      </c:pt>
                      <c:pt idx="3">
                        <c:v>3</c:v>
                      </c:pt>
                      <c:pt idx="4">
                        <c:v>4</c:v>
                      </c:pt>
                      <c:pt idx="5">
                        <c:v>4</c:v>
                      </c:pt>
                      <c:pt idx="6">
                        <c:v>0</c:v>
                      </c:pt>
                      <c:pt idx="7">
                        <c:v>4</c:v>
                      </c:pt>
                      <c:pt idx="8">
                        <c:v>4</c:v>
                      </c:pt>
                      <c:pt idx="9">
                        <c:v>4</c:v>
                      </c:pt>
                      <c:pt idx="10">
                        <c:v>1</c:v>
                      </c:pt>
                      <c:pt idx="11">
                        <c:v>0</c:v>
                      </c:pt>
                      <c:pt idx="12">
                        <c:v>5</c:v>
                      </c:pt>
                      <c:pt idx="13">
                        <c:v>3</c:v>
                      </c:pt>
                      <c:pt idx="14">
                        <c:v>5</c:v>
                      </c:pt>
                      <c:pt idx="15">
                        <c:v>0</c:v>
                      </c:pt>
                      <c:pt idx="16">
                        <c:v>0</c:v>
                      </c:pt>
                      <c:pt idx="17">
                        <c:v>5</c:v>
                      </c:pt>
                      <c:pt idx="18">
                        <c:v>1</c:v>
                      </c:pt>
                      <c:pt idx="19">
                        <c:v>4</c:v>
                      </c:pt>
                      <c:pt idx="20">
                        <c:v>4</c:v>
                      </c:pt>
                      <c:pt idx="21">
                        <c:v>2</c:v>
                      </c:pt>
                      <c:pt idx="22">
                        <c:v>0</c:v>
                      </c:pt>
                      <c:pt idx="23">
                        <c:v>4</c:v>
                      </c:pt>
                      <c:pt idx="24">
                        <c:v>1</c:v>
                      </c:pt>
                      <c:pt idx="25">
                        <c:v>4</c:v>
                      </c:pt>
                      <c:pt idx="26">
                        <c:v>2</c:v>
                      </c:pt>
                      <c:pt idx="27">
                        <c:v>4</c:v>
                      </c:pt>
                      <c:pt idx="28">
                        <c:v>1</c:v>
                      </c:pt>
                      <c:pt idx="29">
                        <c:v>3</c:v>
                      </c:pt>
                      <c:pt idx="30">
                        <c:v>2</c:v>
                      </c:pt>
                      <c:pt idx="31">
                        <c:v>3</c:v>
                      </c:pt>
                      <c:pt idx="32">
                        <c:v>1</c:v>
                      </c:pt>
                      <c:pt idx="33">
                        <c:v>4</c:v>
                      </c:pt>
                      <c:pt idx="34">
                        <c:v>1</c:v>
                      </c:pt>
                      <c:pt idx="35">
                        <c:v>5</c:v>
                      </c:pt>
                      <c:pt idx="36">
                        <c:v>2</c:v>
                      </c:pt>
                      <c:pt idx="37">
                        <c:v>1</c:v>
                      </c:pt>
                      <c:pt idx="38">
                        <c:v>0</c:v>
                      </c:pt>
                      <c:pt idx="39">
                        <c:v>1</c:v>
                      </c:pt>
                      <c:pt idx="40">
                        <c:v>2</c:v>
                      </c:pt>
                      <c:pt idx="41">
                        <c:v>5</c:v>
                      </c:pt>
                      <c:pt idx="42">
                        <c:v>2</c:v>
                      </c:pt>
                      <c:pt idx="43">
                        <c:v>0</c:v>
                      </c:pt>
                      <c:pt idx="44">
                        <c:v>1</c:v>
                      </c:pt>
                      <c:pt idx="45">
                        <c:v>0</c:v>
                      </c:pt>
                      <c:pt idx="46">
                        <c:v>3</c:v>
                      </c:pt>
                      <c:pt idx="47">
                        <c:v>0</c:v>
                      </c:pt>
                      <c:pt idx="48">
                        <c:v>3</c:v>
                      </c:pt>
                      <c:pt idx="49">
                        <c:v>4</c:v>
                      </c:pt>
                      <c:pt idx="50">
                        <c:v>3</c:v>
                      </c:pt>
                      <c:pt idx="51">
                        <c:v>5</c:v>
                      </c:pt>
                      <c:pt idx="52">
                        <c:v>5</c:v>
                      </c:pt>
                      <c:pt idx="53">
                        <c:v>3</c:v>
                      </c:pt>
                      <c:pt idx="54">
                        <c:v>5</c:v>
                      </c:pt>
                      <c:pt idx="55">
                        <c:v>4</c:v>
                      </c:pt>
                      <c:pt idx="56">
                        <c:v>2</c:v>
                      </c:pt>
                      <c:pt idx="57">
                        <c:v>3</c:v>
                      </c:pt>
                      <c:pt idx="58">
                        <c:v>3</c:v>
                      </c:pt>
                      <c:pt idx="59">
                        <c:v>1</c:v>
                      </c:pt>
                      <c:pt idx="60">
                        <c:v>2</c:v>
                      </c:pt>
                      <c:pt idx="61">
                        <c:v>0</c:v>
                      </c:pt>
                      <c:pt idx="62">
                        <c:v>3</c:v>
                      </c:pt>
                      <c:pt idx="63">
                        <c:v>1</c:v>
                      </c:pt>
                      <c:pt idx="64">
                        <c:v>2</c:v>
                      </c:pt>
                      <c:pt idx="65">
                        <c:v>3</c:v>
                      </c:pt>
                      <c:pt idx="66">
                        <c:v>5</c:v>
                      </c:pt>
                      <c:pt idx="67">
                        <c:v>0</c:v>
                      </c:pt>
                      <c:pt idx="68">
                        <c:v>2</c:v>
                      </c:pt>
                      <c:pt idx="69">
                        <c:v>0</c:v>
                      </c:pt>
                      <c:pt idx="70">
                        <c:v>5</c:v>
                      </c:pt>
                      <c:pt idx="71">
                        <c:v>0</c:v>
                      </c:pt>
                      <c:pt idx="72">
                        <c:v>1</c:v>
                      </c:pt>
                      <c:pt idx="73">
                        <c:v>3</c:v>
                      </c:pt>
                      <c:pt idx="74">
                        <c:v>3</c:v>
                      </c:pt>
                      <c:pt idx="75">
                        <c:v>2</c:v>
                      </c:pt>
                      <c:pt idx="76">
                        <c:v>4</c:v>
                      </c:pt>
                      <c:pt idx="77">
                        <c:v>1</c:v>
                      </c:pt>
                      <c:pt idx="78">
                        <c:v>5</c:v>
                      </c:pt>
                      <c:pt idx="79">
                        <c:v>5</c:v>
                      </c:pt>
                      <c:pt idx="80">
                        <c:v>3</c:v>
                      </c:pt>
                      <c:pt idx="81">
                        <c:v>0</c:v>
                      </c:pt>
                      <c:pt idx="82">
                        <c:v>3</c:v>
                      </c:pt>
                      <c:pt idx="83">
                        <c:v>2</c:v>
                      </c:pt>
                      <c:pt idx="84">
                        <c:v>5</c:v>
                      </c:pt>
                      <c:pt idx="85">
                        <c:v>4</c:v>
                      </c:pt>
                      <c:pt idx="86">
                        <c:v>3</c:v>
                      </c:pt>
                      <c:pt idx="87">
                        <c:v>2</c:v>
                      </c:pt>
                      <c:pt idx="88">
                        <c:v>4</c:v>
                      </c:pt>
                      <c:pt idx="89">
                        <c:v>3</c:v>
                      </c:pt>
                      <c:pt idx="90">
                        <c:v>4</c:v>
                      </c:pt>
                      <c:pt idx="91">
                        <c:v>1</c:v>
                      </c:pt>
                      <c:pt idx="92">
                        <c:v>2</c:v>
                      </c:pt>
                      <c:pt idx="93">
                        <c:v>2</c:v>
                      </c:pt>
                      <c:pt idx="94">
                        <c:v>4</c:v>
                      </c:pt>
                      <c:pt idx="95">
                        <c:v>3</c:v>
                      </c:pt>
                      <c:pt idx="96">
                        <c:v>5</c:v>
                      </c:pt>
                      <c:pt idx="97">
                        <c:v>1</c:v>
                      </c:pt>
                      <c:pt idx="98">
                        <c:v>1</c:v>
                      </c:pt>
                      <c:pt idx="99">
                        <c:v>3</c:v>
                      </c:pt>
                      <c:pt idx="100">
                        <c:v>0</c:v>
                      </c:pt>
                      <c:pt idx="101">
                        <c:v>3</c:v>
                      </c:pt>
                      <c:pt idx="102">
                        <c:v>1</c:v>
                      </c:pt>
                      <c:pt idx="103">
                        <c:v>3</c:v>
                      </c:pt>
                      <c:pt idx="104">
                        <c:v>4</c:v>
                      </c:pt>
                      <c:pt idx="105">
                        <c:v>0</c:v>
                      </c:pt>
                      <c:pt idx="106">
                        <c:v>5</c:v>
                      </c:pt>
                      <c:pt idx="107">
                        <c:v>0</c:v>
                      </c:pt>
                      <c:pt idx="108">
                        <c:v>4</c:v>
                      </c:pt>
                      <c:pt idx="109">
                        <c:v>1</c:v>
                      </c:pt>
                      <c:pt idx="110">
                        <c:v>5</c:v>
                      </c:pt>
                      <c:pt idx="111">
                        <c:v>3</c:v>
                      </c:pt>
                      <c:pt idx="112">
                        <c:v>4</c:v>
                      </c:pt>
                      <c:pt idx="113">
                        <c:v>4</c:v>
                      </c:pt>
                      <c:pt idx="114">
                        <c:v>1</c:v>
                      </c:pt>
                      <c:pt idx="115">
                        <c:v>3</c:v>
                      </c:pt>
                      <c:pt idx="116">
                        <c:v>4</c:v>
                      </c:pt>
                      <c:pt idx="117">
                        <c:v>4</c:v>
                      </c:pt>
                      <c:pt idx="118">
                        <c:v>5</c:v>
                      </c:pt>
                      <c:pt idx="119">
                        <c:v>5</c:v>
                      </c:pt>
                      <c:pt idx="120">
                        <c:v>1</c:v>
                      </c:pt>
                      <c:pt idx="121">
                        <c:v>5</c:v>
                      </c:pt>
                      <c:pt idx="122">
                        <c:v>4</c:v>
                      </c:pt>
                      <c:pt idx="123">
                        <c:v>4</c:v>
                      </c:pt>
                      <c:pt idx="124">
                        <c:v>5</c:v>
                      </c:pt>
                      <c:pt idx="125">
                        <c:v>2</c:v>
                      </c:pt>
                      <c:pt idx="126">
                        <c:v>2</c:v>
                      </c:pt>
                      <c:pt idx="127">
                        <c:v>2</c:v>
                      </c:pt>
                      <c:pt idx="128">
                        <c:v>3</c:v>
                      </c:pt>
                      <c:pt idx="129">
                        <c:v>5</c:v>
                      </c:pt>
                      <c:pt idx="130">
                        <c:v>5</c:v>
                      </c:pt>
                      <c:pt idx="131">
                        <c:v>4</c:v>
                      </c:pt>
                      <c:pt idx="132">
                        <c:v>5</c:v>
                      </c:pt>
                      <c:pt idx="133">
                        <c:v>2</c:v>
                      </c:pt>
                      <c:pt idx="134">
                        <c:v>3</c:v>
                      </c:pt>
                      <c:pt idx="135">
                        <c:v>2</c:v>
                      </c:pt>
                      <c:pt idx="136">
                        <c:v>5</c:v>
                      </c:pt>
                      <c:pt idx="137">
                        <c:v>3</c:v>
                      </c:pt>
                      <c:pt idx="138">
                        <c:v>4</c:v>
                      </c:pt>
                      <c:pt idx="139">
                        <c:v>3</c:v>
                      </c:pt>
                      <c:pt idx="140">
                        <c:v>0</c:v>
                      </c:pt>
                      <c:pt idx="141">
                        <c:v>0</c:v>
                      </c:pt>
                      <c:pt idx="142">
                        <c:v>0</c:v>
                      </c:pt>
                      <c:pt idx="143">
                        <c:v>0</c:v>
                      </c:pt>
                      <c:pt idx="144">
                        <c:v>3</c:v>
                      </c:pt>
                      <c:pt idx="145">
                        <c:v>2</c:v>
                      </c:pt>
                      <c:pt idx="146">
                        <c:v>3</c:v>
                      </c:pt>
                      <c:pt idx="147">
                        <c:v>5</c:v>
                      </c:pt>
                      <c:pt idx="148">
                        <c:v>3</c:v>
                      </c:pt>
                      <c:pt idx="149">
                        <c:v>3</c:v>
                      </c:pt>
                      <c:pt idx="150">
                        <c:v>2</c:v>
                      </c:pt>
                      <c:pt idx="151">
                        <c:v>4</c:v>
                      </c:pt>
                      <c:pt idx="152">
                        <c:v>3</c:v>
                      </c:pt>
                      <c:pt idx="153">
                        <c:v>5</c:v>
                      </c:pt>
                      <c:pt idx="154">
                        <c:v>5</c:v>
                      </c:pt>
                      <c:pt idx="155">
                        <c:v>3</c:v>
                      </c:pt>
                      <c:pt idx="156">
                        <c:v>3</c:v>
                      </c:pt>
                      <c:pt idx="157">
                        <c:v>3</c:v>
                      </c:pt>
                      <c:pt idx="158">
                        <c:v>0</c:v>
                      </c:pt>
                      <c:pt idx="159">
                        <c:v>1</c:v>
                      </c:pt>
                      <c:pt idx="160">
                        <c:v>3</c:v>
                      </c:pt>
                      <c:pt idx="161">
                        <c:v>1</c:v>
                      </c:pt>
                      <c:pt idx="162">
                        <c:v>3</c:v>
                      </c:pt>
                      <c:pt idx="163">
                        <c:v>3</c:v>
                      </c:pt>
                      <c:pt idx="164">
                        <c:v>2</c:v>
                      </c:pt>
                      <c:pt idx="165">
                        <c:v>4</c:v>
                      </c:pt>
                      <c:pt idx="166">
                        <c:v>1</c:v>
                      </c:pt>
                      <c:pt idx="167">
                        <c:v>4</c:v>
                      </c:pt>
                      <c:pt idx="168">
                        <c:v>2</c:v>
                      </c:pt>
                      <c:pt idx="169">
                        <c:v>0</c:v>
                      </c:pt>
                      <c:pt idx="170">
                        <c:v>3</c:v>
                      </c:pt>
                      <c:pt idx="171">
                        <c:v>1</c:v>
                      </c:pt>
                      <c:pt idx="172">
                        <c:v>1</c:v>
                      </c:pt>
                      <c:pt idx="173">
                        <c:v>5</c:v>
                      </c:pt>
                      <c:pt idx="174">
                        <c:v>4</c:v>
                      </c:pt>
                      <c:pt idx="175">
                        <c:v>0</c:v>
                      </c:pt>
                      <c:pt idx="176">
                        <c:v>3</c:v>
                      </c:pt>
                      <c:pt idx="177">
                        <c:v>2</c:v>
                      </c:pt>
                      <c:pt idx="178">
                        <c:v>0</c:v>
                      </c:pt>
                      <c:pt idx="179">
                        <c:v>3</c:v>
                      </c:pt>
                      <c:pt idx="180">
                        <c:v>4</c:v>
                      </c:pt>
                      <c:pt idx="181">
                        <c:v>4</c:v>
                      </c:pt>
                      <c:pt idx="182">
                        <c:v>5</c:v>
                      </c:pt>
                      <c:pt idx="183">
                        <c:v>3</c:v>
                      </c:pt>
                      <c:pt idx="184">
                        <c:v>3</c:v>
                      </c:pt>
                      <c:pt idx="185">
                        <c:v>0</c:v>
                      </c:pt>
                      <c:pt idx="186">
                        <c:v>5</c:v>
                      </c:pt>
                      <c:pt idx="187">
                        <c:v>1</c:v>
                      </c:pt>
                      <c:pt idx="188">
                        <c:v>0</c:v>
                      </c:pt>
                      <c:pt idx="189">
                        <c:v>2</c:v>
                      </c:pt>
                      <c:pt idx="190">
                        <c:v>1</c:v>
                      </c:pt>
                      <c:pt idx="191">
                        <c:v>5</c:v>
                      </c:pt>
                      <c:pt idx="192">
                        <c:v>3</c:v>
                      </c:pt>
                      <c:pt idx="193">
                        <c:v>3</c:v>
                      </c:pt>
                      <c:pt idx="194">
                        <c:v>1</c:v>
                      </c:pt>
                      <c:pt idx="195">
                        <c:v>2</c:v>
                      </c:pt>
                      <c:pt idx="196">
                        <c:v>0</c:v>
                      </c:pt>
                      <c:pt idx="197">
                        <c:v>4</c:v>
                      </c:pt>
                      <c:pt idx="198">
                        <c:v>2</c:v>
                      </c:pt>
                      <c:pt idx="199">
                        <c:v>5</c:v>
                      </c:pt>
                      <c:pt idx="200">
                        <c:v>5</c:v>
                      </c:pt>
                      <c:pt idx="201">
                        <c:v>2</c:v>
                      </c:pt>
                      <c:pt idx="202">
                        <c:v>5</c:v>
                      </c:pt>
                      <c:pt idx="203">
                        <c:v>2</c:v>
                      </c:pt>
                      <c:pt idx="204">
                        <c:v>4</c:v>
                      </c:pt>
                      <c:pt idx="205">
                        <c:v>4</c:v>
                      </c:pt>
                      <c:pt idx="206">
                        <c:v>5</c:v>
                      </c:pt>
                      <c:pt idx="207">
                        <c:v>4</c:v>
                      </c:pt>
                      <c:pt idx="208">
                        <c:v>1</c:v>
                      </c:pt>
                      <c:pt idx="209">
                        <c:v>2</c:v>
                      </c:pt>
                      <c:pt idx="210">
                        <c:v>5</c:v>
                      </c:pt>
                      <c:pt idx="211">
                        <c:v>3</c:v>
                      </c:pt>
                      <c:pt idx="212">
                        <c:v>0</c:v>
                      </c:pt>
                      <c:pt idx="213">
                        <c:v>3</c:v>
                      </c:pt>
                      <c:pt idx="214">
                        <c:v>0</c:v>
                      </c:pt>
                      <c:pt idx="215">
                        <c:v>3</c:v>
                      </c:pt>
                      <c:pt idx="216">
                        <c:v>2</c:v>
                      </c:pt>
                      <c:pt idx="217">
                        <c:v>5</c:v>
                      </c:pt>
                      <c:pt idx="218">
                        <c:v>2</c:v>
                      </c:pt>
                      <c:pt idx="219">
                        <c:v>4</c:v>
                      </c:pt>
                      <c:pt idx="220">
                        <c:v>4</c:v>
                      </c:pt>
                      <c:pt idx="221">
                        <c:v>4</c:v>
                      </c:pt>
                      <c:pt idx="222">
                        <c:v>5</c:v>
                      </c:pt>
                      <c:pt idx="223">
                        <c:v>5</c:v>
                      </c:pt>
                      <c:pt idx="224">
                        <c:v>3</c:v>
                      </c:pt>
                      <c:pt idx="225">
                        <c:v>0</c:v>
                      </c:pt>
                      <c:pt idx="226">
                        <c:v>5</c:v>
                      </c:pt>
                      <c:pt idx="227">
                        <c:v>0</c:v>
                      </c:pt>
                      <c:pt idx="228">
                        <c:v>5</c:v>
                      </c:pt>
                      <c:pt idx="229">
                        <c:v>5</c:v>
                      </c:pt>
                      <c:pt idx="230">
                        <c:v>3</c:v>
                      </c:pt>
                      <c:pt idx="231">
                        <c:v>1</c:v>
                      </c:pt>
                      <c:pt idx="232">
                        <c:v>4</c:v>
                      </c:pt>
                      <c:pt idx="233">
                        <c:v>5</c:v>
                      </c:pt>
                      <c:pt idx="234">
                        <c:v>2</c:v>
                      </c:pt>
                      <c:pt idx="235">
                        <c:v>3</c:v>
                      </c:pt>
                      <c:pt idx="236">
                        <c:v>1</c:v>
                      </c:pt>
                      <c:pt idx="237">
                        <c:v>0</c:v>
                      </c:pt>
                      <c:pt idx="238">
                        <c:v>5</c:v>
                      </c:pt>
                      <c:pt idx="239">
                        <c:v>0</c:v>
                      </c:pt>
                      <c:pt idx="240">
                        <c:v>1</c:v>
                      </c:pt>
                      <c:pt idx="241">
                        <c:v>3</c:v>
                      </c:pt>
                      <c:pt idx="242">
                        <c:v>3</c:v>
                      </c:pt>
                      <c:pt idx="243">
                        <c:v>4</c:v>
                      </c:pt>
                      <c:pt idx="244">
                        <c:v>4</c:v>
                      </c:pt>
                      <c:pt idx="245">
                        <c:v>0</c:v>
                      </c:pt>
                      <c:pt idx="246">
                        <c:v>2</c:v>
                      </c:pt>
                      <c:pt idx="247">
                        <c:v>2</c:v>
                      </c:pt>
                      <c:pt idx="248">
                        <c:v>2</c:v>
                      </c:pt>
                      <c:pt idx="249">
                        <c:v>4</c:v>
                      </c:pt>
                      <c:pt idx="250">
                        <c:v>3</c:v>
                      </c:pt>
                      <c:pt idx="251">
                        <c:v>5</c:v>
                      </c:pt>
                      <c:pt idx="252">
                        <c:v>1</c:v>
                      </c:pt>
                      <c:pt idx="253">
                        <c:v>0</c:v>
                      </c:pt>
                      <c:pt idx="254">
                        <c:v>0</c:v>
                      </c:pt>
                      <c:pt idx="255">
                        <c:v>3</c:v>
                      </c:pt>
                      <c:pt idx="256">
                        <c:v>3</c:v>
                      </c:pt>
                      <c:pt idx="257">
                        <c:v>1</c:v>
                      </c:pt>
                      <c:pt idx="258">
                        <c:v>1</c:v>
                      </c:pt>
                      <c:pt idx="259">
                        <c:v>2</c:v>
                      </c:pt>
                      <c:pt idx="260">
                        <c:v>3</c:v>
                      </c:pt>
                      <c:pt idx="261">
                        <c:v>0</c:v>
                      </c:pt>
                      <c:pt idx="262">
                        <c:v>0</c:v>
                      </c:pt>
                      <c:pt idx="263">
                        <c:v>1</c:v>
                      </c:pt>
                      <c:pt idx="264">
                        <c:v>4</c:v>
                      </c:pt>
                      <c:pt idx="265">
                        <c:v>4</c:v>
                      </c:pt>
                      <c:pt idx="266">
                        <c:v>0</c:v>
                      </c:pt>
                      <c:pt idx="267">
                        <c:v>0</c:v>
                      </c:pt>
                      <c:pt idx="268">
                        <c:v>0</c:v>
                      </c:pt>
                      <c:pt idx="269">
                        <c:v>1</c:v>
                      </c:pt>
                      <c:pt idx="270">
                        <c:v>0</c:v>
                      </c:pt>
                      <c:pt idx="271">
                        <c:v>4</c:v>
                      </c:pt>
                      <c:pt idx="272">
                        <c:v>0</c:v>
                      </c:pt>
                      <c:pt idx="273">
                        <c:v>5</c:v>
                      </c:pt>
                      <c:pt idx="274">
                        <c:v>3</c:v>
                      </c:pt>
                      <c:pt idx="275">
                        <c:v>1</c:v>
                      </c:pt>
                      <c:pt idx="276">
                        <c:v>0</c:v>
                      </c:pt>
                      <c:pt idx="277">
                        <c:v>2</c:v>
                      </c:pt>
                      <c:pt idx="278">
                        <c:v>1</c:v>
                      </c:pt>
                      <c:pt idx="279">
                        <c:v>4</c:v>
                      </c:pt>
                      <c:pt idx="280">
                        <c:v>5</c:v>
                      </c:pt>
                      <c:pt idx="281">
                        <c:v>2</c:v>
                      </c:pt>
                      <c:pt idx="282">
                        <c:v>0</c:v>
                      </c:pt>
                      <c:pt idx="283">
                        <c:v>2</c:v>
                      </c:pt>
                      <c:pt idx="284">
                        <c:v>4</c:v>
                      </c:pt>
                      <c:pt idx="285">
                        <c:v>1</c:v>
                      </c:pt>
                      <c:pt idx="286">
                        <c:v>3</c:v>
                      </c:pt>
                      <c:pt idx="287">
                        <c:v>1</c:v>
                      </c:pt>
                      <c:pt idx="288">
                        <c:v>2</c:v>
                      </c:pt>
                      <c:pt idx="289">
                        <c:v>2</c:v>
                      </c:pt>
                      <c:pt idx="290">
                        <c:v>1</c:v>
                      </c:pt>
                      <c:pt idx="291">
                        <c:v>1</c:v>
                      </c:pt>
                      <c:pt idx="292">
                        <c:v>3</c:v>
                      </c:pt>
                      <c:pt idx="293">
                        <c:v>3</c:v>
                      </c:pt>
                      <c:pt idx="294">
                        <c:v>4</c:v>
                      </c:pt>
                      <c:pt idx="295">
                        <c:v>5</c:v>
                      </c:pt>
                      <c:pt idx="296">
                        <c:v>3</c:v>
                      </c:pt>
                      <c:pt idx="297">
                        <c:v>3</c:v>
                      </c:pt>
                      <c:pt idx="298">
                        <c:v>1</c:v>
                      </c:pt>
                      <c:pt idx="299">
                        <c:v>5</c:v>
                      </c:pt>
                      <c:pt idx="300">
                        <c:v>3</c:v>
                      </c:pt>
                      <c:pt idx="301">
                        <c:v>2</c:v>
                      </c:pt>
                      <c:pt idx="302">
                        <c:v>5</c:v>
                      </c:pt>
                      <c:pt idx="303">
                        <c:v>5</c:v>
                      </c:pt>
                      <c:pt idx="304">
                        <c:v>5</c:v>
                      </c:pt>
                      <c:pt idx="305">
                        <c:v>1</c:v>
                      </c:pt>
                      <c:pt idx="306">
                        <c:v>4</c:v>
                      </c:pt>
                      <c:pt idx="307">
                        <c:v>0</c:v>
                      </c:pt>
                      <c:pt idx="308">
                        <c:v>0</c:v>
                      </c:pt>
                      <c:pt idx="309">
                        <c:v>0</c:v>
                      </c:pt>
                      <c:pt idx="310">
                        <c:v>4</c:v>
                      </c:pt>
                      <c:pt idx="311">
                        <c:v>4</c:v>
                      </c:pt>
                      <c:pt idx="312">
                        <c:v>5</c:v>
                      </c:pt>
                      <c:pt idx="313">
                        <c:v>0</c:v>
                      </c:pt>
                      <c:pt idx="314">
                        <c:v>3</c:v>
                      </c:pt>
                      <c:pt idx="315">
                        <c:v>4</c:v>
                      </c:pt>
                      <c:pt idx="316">
                        <c:v>5</c:v>
                      </c:pt>
                      <c:pt idx="317">
                        <c:v>5</c:v>
                      </c:pt>
                      <c:pt idx="318">
                        <c:v>0</c:v>
                      </c:pt>
                      <c:pt idx="319">
                        <c:v>5</c:v>
                      </c:pt>
                      <c:pt idx="320">
                        <c:v>1</c:v>
                      </c:pt>
                      <c:pt idx="321">
                        <c:v>3</c:v>
                      </c:pt>
                      <c:pt idx="322">
                        <c:v>0</c:v>
                      </c:pt>
                      <c:pt idx="323">
                        <c:v>1</c:v>
                      </c:pt>
                      <c:pt idx="324">
                        <c:v>2</c:v>
                      </c:pt>
                      <c:pt idx="325">
                        <c:v>3</c:v>
                      </c:pt>
                      <c:pt idx="326">
                        <c:v>1</c:v>
                      </c:pt>
                      <c:pt idx="327">
                        <c:v>0</c:v>
                      </c:pt>
                      <c:pt idx="328">
                        <c:v>5</c:v>
                      </c:pt>
                      <c:pt idx="329">
                        <c:v>4</c:v>
                      </c:pt>
                      <c:pt idx="330">
                        <c:v>5</c:v>
                      </c:pt>
                      <c:pt idx="331">
                        <c:v>5</c:v>
                      </c:pt>
                      <c:pt idx="332">
                        <c:v>1</c:v>
                      </c:pt>
                      <c:pt idx="333">
                        <c:v>2</c:v>
                      </c:pt>
                      <c:pt idx="334">
                        <c:v>3</c:v>
                      </c:pt>
                      <c:pt idx="335">
                        <c:v>4</c:v>
                      </c:pt>
                      <c:pt idx="336">
                        <c:v>1</c:v>
                      </c:pt>
                      <c:pt idx="337">
                        <c:v>1</c:v>
                      </c:pt>
                      <c:pt idx="338">
                        <c:v>5</c:v>
                      </c:pt>
                      <c:pt idx="339">
                        <c:v>4</c:v>
                      </c:pt>
                      <c:pt idx="340">
                        <c:v>2</c:v>
                      </c:pt>
                      <c:pt idx="341">
                        <c:v>1</c:v>
                      </c:pt>
                      <c:pt idx="342">
                        <c:v>4</c:v>
                      </c:pt>
                      <c:pt idx="343">
                        <c:v>5</c:v>
                      </c:pt>
                      <c:pt idx="344">
                        <c:v>4</c:v>
                      </c:pt>
                      <c:pt idx="345">
                        <c:v>2</c:v>
                      </c:pt>
                      <c:pt idx="346">
                        <c:v>4</c:v>
                      </c:pt>
                      <c:pt idx="347">
                        <c:v>2</c:v>
                      </c:pt>
                      <c:pt idx="348">
                        <c:v>4</c:v>
                      </c:pt>
                      <c:pt idx="349">
                        <c:v>0</c:v>
                      </c:pt>
                      <c:pt idx="350">
                        <c:v>5</c:v>
                      </c:pt>
                      <c:pt idx="351">
                        <c:v>4</c:v>
                      </c:pt>
                      <c:pt idx="352">
                        <c:v>4</c:v>
                      </c:pt>
                      <c:pt idx="353">
                        <c:v>4</c:v>
                      </c:pt>
                      <c:pt idx="354">
                        <c:v>2</c:v>
                      </c:pt>
                      <c:pt idx="355">
                        <c:v>1</c:v>
                      </c:pt>
                      <c:pt idx="356">
                        <c:v>0</c:v>
                      </c:pt>
                      <c:pt idx="357">
                        <c:v>5</c:v>
                      </c:pt>
                      <c:pt idx="358">
                        <c:v>0</c:v>
                      </c:pt>
                      <c:pt idx="359">
                        <c:v>5</c:v>
                      </c:pt>
                      <c:pt idx="360">
                        <c:v>2</c:v>
                      </c:pt>
                      <c:pt idx="361">
                        <c:v>1</c:v>
                      </c:pt>
                      <c:pt idx="362">
                        <c:v>1</c:v>
                      </c:pt>
                      <c:pt idx="363">
                        <c:v>3</c:v>
                      </c:pt>
                      <c:pt idx="364">
                        <c:v>5</c:v>
                      </c:pt>
                      <c:pt idx="365">
                        <c:v>4</c:v>
                      </c:pt>
                      <c:pt idx="366">
                        <c:v>3</c:v>
                      </c:pt>
                      <c:pt idx="367">
                        <c:v>3</c:v>
                      </c:pt>
                      <c:pt idx="368">
                        <c:v>5</c:v>
                      </c:pt>
                      <c:pt idx="369">
                        <c:v>4</c:v>
                      </c:pt>
                      <c:pt idx="370">
                        <c:v>4</c:v>
                      </c:pt>
                      <c:pt idx="371">
                        <c:v>1</c:v>
                      </c:pt>
                      <c:pt idx="372">
                        <c:v>1</c:v>
                      </c:pt>
                      <c:pt idx="373">
                        <c:v>1</c:v>
                      </c:pt>
                      <c:pt idx="374">
                        <c:v>1</c:v>
                      </c:pt>
                      <c:pt idx="375">
                        <c:v>1</c:v>
                      </c:pt>
                      <c:pt idx="376">
                        <c:v>2</c:v>
                      </c:pt>
                      <c:pt idx="377">
                        <c:v>2</c:v>
                      </c:pt>
                      <c:pt idx="378">
                        <c:v>5</c:v>
                      </c:pt>
                      <c:pt idx="379">
                        <c:v>4</c:v>
                      </c:pt>
                      <c:pt idx="380">
                        <c:v>5</c:v>
                      </c:pt>
                      <c:pt idx="381">
                        <c:v>1</c:v>
                      </c:pt>
                      <c:pt idx="382">
                        <c:v>3</c:v>
                      </c:pt>
                      <c:pt idx="383">
                        <c:v>1</c:v>
                      </c:pt>
                      <c:pt idx="384">
                        <c:v>3</c:v>
                      </c:pt>
                      <c:pt idx="385">
                        <c:v>5</c:v>
                      </c:pt>
                      <c:pt idx="386">
                        <c:v>2</c:v>
                      </c:pt>
                      <c:pt idx="387">
                        <c:v>3</c:v>
                      </c:pt>
                      <c:pt idx="388">
                        <c:v>3</c:v>
                      </c:pt>
                      <c:pt idx="389">
                        <c:v>1</c:v>
                      </c:pt>
                      <c:pt idx="390">
                        <c:v>1</c:v>
                      </c:pt>
                      <c:pt idx="391">
                        <c:v>0</c:v>
                      </c:pt>
                      <c:pt idx="392">
                        <c:v>5</c:v>
                      </c:pt>
                      <c:pt idx="393">
                        <c:v>4</c:v>
                      </c:pt>
                      <c:pt idx="394">
                        <c:v>5</c:v>
                      </c:pt>
                      <c:pt idx="395">
                        <c:v>4</c:v>
                      </c:pt>
                      <c:pt idx="396">
                        <c:v>5</c:v>
                      </c:pt>
                      <c:pt idx="397">
                        <c:v>2</c:v>
                      </c:pt>
                      <c:pt idx="398">
                        <c:v>0</c:v>
                      </c:pt>
                      <c:pt idx="399">
                        <c:v>4</c:v>
                      </c:pt>
                      <c:pt idx="400">
                        <c:v>3</c:v>
                      </c:pt>
                      <c:pt idx="401">
                        <c:v>0</c:v>
                      </c:pt>
                      <c:pt idx="402">
                        <c:v>4</c:v>
                      </c:pt>
                      <c:pt idx="403">
                        <c:v>5</c:v>
                      </c:pt>
                      <c:pt idx="404">
                        <c:v>4</c:v>
                      </c:pt>
                      <c:pt idx="405">
                        <c:v>4</c:v>
                      </c:pt>
                      <c:pt idx="406">
                        <c:v>0</c:v>
                      </c:pt>
                      <c:pt idx="407">
                        <c:v>4</c:v>
                      </c:pt>
                      <c:pt idx="408">
                        <c:v>4</c:v>
                      </c:pt>
                      <c:pt idx="409">
                        <c:v>0</c:v>
                      </c:pt>
                      <c:pt idx="410">
                        <c:v>0</c:v>
                      </c:pt>
                      <c:pt idx="411">
                        <c:v>1</c:v>
                      </c:pt>
                      <c:pt idx="412">
                        <c:v>2</c:v>
                      </c:pt>
                      <c:pt idx="413">
                        <c:v>3</c:v>
                      </c:pt>
                      <c:pt idx="414">
                        <c:v>1</c:v>
                      </c:pt>
                      <c:pt idx="415">
                        <c:v>1</c:v>
                      </c:pt>
                      <c:pt idx="416">
                        <c:v>1</c:v>
                      </c:pt>
                      <c:pt idx="417">
                        <c:v>2</c:v>
                      </c:pt>
                      <c:pt idx="418">
                        <c:v>4</c:v>
                      </c:pt>
                      <c:pt idx="419">
                        <c:v>1</c:v>
                      </c:pt>
                      <c:pt idx="420">
                        <c:v>5</c:v>
                      </c:pt>
                      <c:pt idx="421">
                        <c:v>2</c:v>
                      </c:pt>
                      <c:pt idx="422">
                        <c:v>5</c:v>
                      </c:pt>
                      <c:pt idx="423">
                        <c:v>3</c:v>
                      </c:pt>
                      <c:pt idx="424">
                        <c:v>3</c:v>
                      </c:pt>
                      <c:pt idx="425">
                        <c:v>5</c:v>
                      </c:pt>
                      <c:pt idx="426">
                        <c:v>1</c:v>
                      </c:pt>
                      <c:pt idx="427">
                        <c:v>4</c:v>
                      </c:pt>
                      <c:pt idx="428">
                        <c:v>1</c:v>
                      </c:pt>
                      <c:pt idx="429">
                        <c:v>5</c:v>
                      </c:pt>
                      <c:pt idx="430">
                        <c:v>1</c:v>
                      </c:pt>
                      <c:pt idx="431">
                        <c:v>5</c:v>
                      </c:pt>
                      <c:pt idx="432">
                        <c:v>5</c:v>
                      </c:pt>
                      <c:pt idx="433">
                        <c:v>2</c:v>
                      </c:pt>
                      <c:pt idx="434">
                        <c:v>0</c:v>
                      </c:pt>
                      <c:pt idx="435">
                        <c:v>3</c:v>
                      </c:pt>
                      <c:pt idx="436">
                        <c:v>3</c:v>
                      </c:pt>
                      <c:pt idx="437">
                        <c:v>5</c:v>
                      </c:pt>
                      <c:pt idx="438">
                        <c:v>2</c:v>
                      </c:pt>
                      <c:pt idx="439">
                        <c:v>1</c:v>
                      </c:pt>
                      <c:pt idx="440">
                        <c:v>3</c:v>
                      </c:pt>
                      <c:pt idx="441">
                        <c:v>3</c:v>
                      </c:pt>
                      <c:pt idx="442">
                        <c:v>0</c:v>
                      </c:pt>
                      <c:pt idx="443">
                        <c:v>3</c:v>
                      </c:pt>
                      <c:pt idx="444">
                        <c:v>1</c:v>
                      </c:pt>
                      <c:pt idx="445">
                        <c:v>1</c:v>
                      </c:pt>
                      <c:pt idx="446">
                        <c:v>4</c:v>
                      </c:pt>
                      <c:pt idx="447">
                        <c:v>0</c:v>
                      </c:pt>
                      <c:pt idx="448">
                        <c:v>4</c:v>
                      </c:pt>
                      <c:pt idx="449">
                        <c:v>0</c:v>
                      </c:pt>
                      <c:pt idx="450">
                        <c:v>4</c:v>
                      </c:pt>
                      <c:pt idx="451">
                        <c:v>3</c:v>
                      </c:pt>
                      <c:pt idx="452">
                        <c:v>5</c:v>
                      </c:pt>
                      <c:pt idx="453">
                        <c:v>2</c:v>
                      </c:pt>
                      <c:pt idx="454">
                        <c:v>5</c:v>
                      </c:pt>
                      <c:pt idx="455">
                        <c:v>0</c:v>
                      </c:pt>
                      <c:pt idx="456">
                        <c:v>5</c:v>
                      </c:pt>
                      <c:pt idx="457">
                        <c:v>0</c:v>
                      </c:pt>
                      <c:pt idx="458">
                        <c:v>2</c:v>
                      </c:pt>
                      <c:pt idx="459">
                        <c:v>2</c:v>
                      </c:pt>
                      <c:pt idx="460">
                        <c:v>4</c:v>
                      </c:pt>
                      <c:pt idx="461">
                        <c:v>1</c:v>
                      </c:pt>
                      <c:pt idx="462">
                        <c:v>3</c:v>
                      </c:pt>
                      <c:pt idx="463">
                        <c:v>1</c:v>
                      </c:pt>
                      <c:pt idx="464">
                        <c:v>2</c:v>
                      </c:pt>
                      <c:pt idx="465">
                        <c:v>1</c:v>
                      </c:pt>
                      <c:pt idx="466">
                        <c:v>2</c:v>
                      </c:pt>
                      <c:pt idx="467">
                        <c:v>5</c:v>
                      </c:pt>
                      <c:pt idx="468">
                        <c:v>2</c:v>
                      </c:pt>
                      <c:pt idx="469">
                        <c:v>1</c:v>
                      </c:pt>
                      <c:pt idx="470">
                        <c:v>0</c:v>
                      </c:pt>
                      <c:pt idx="471">
                        <c:v>1</c:v>
                      </c:pt>
                      <c:pt idx="472">
                        <c:v>3</c:v>
                      </c:pt>
                      <c:pt idx="473">
                        <c:v>3</c:v>
                      </c:pt>
                      <c:pt idx="474">
                        <c:v>2</c:v>
                      </c:pt>
                      <c:pt idx="475">
                        <c:v>1</c:v>
                      </c:pt>
                      <c:pt idx="476">
                        <c:v>5</c:v>
                      </c:pt>
                      <c:pt idx="477">
                        <c:v>1</c:v>
                      </c:pt>
                      <c:pt idx="478">
                        <c:v>1</c:v>
                      </c:pt>
                      <c:pt idx="479">
                        <c:v>4</c:v>
                      </c:pt>
                      <c:pt idx="480">
                        <c:v>3</c:v>
                      </c:pt>
                      <c:pt idx="481">
                        <c:v>5</c:v>
                      </c:pt>
                      <c:pt idx="482">
                        <c:v>4</c:v>
                      </c:pt>
                      <c:pt idx="483">
                        <c:v>5</c:v>
                      </c:pt>
                      <c:pt idx="484">
                        <c:v>4</c:v>
                      </c:pt>
                      <c:pt idx="485">
                        <c:v>4</c:v>
                      </c:pt>
                      <c:pt idx="486">
                        <c:v>5</c:v>
                      </c:pt>
                      <c:pt idx="487">
                        <c:v>1</c:v>
                      </c:pt>
                      <c:pt idx="488">
                        <c:v>4</c:v>
                      </c:pt>
                      <c:pt idx="489">
                        <c:v>2</c:v>
                      </c:pt>
                      <c:pt idx="490">
                        <c:v>3</c:v>
                      </c:pt>
                      <c:pt idx="491">
                        <c:v>3</c:v>
                      </c:pt>
                      <c:pt idx="492">
                        <c:v>0</c:v>
                      </c:pt>
                      <c:pt idx="493">
                        <c:v>0</c:v>
                      </c:pt>
                      <c:pt idx="494">
                        <c:v>4</c:v>
                      </c:pt>
                      <c:pt idx="495">
                        <c:v>1</c:v>
                      </c:pt>
                      <c:pt idx="496">
                        <c:v>3</c:v>
                      </c:pt>
                      <c:pt idx="497">
                        <c:v>4</c:v>
                      </c:pt>
                      <c:pt idx="498">
                        <c:v>5</c:v>
                      </c:pt>
                      <c:pt idx="499">
                        <c:v>1</c:v>
                      </c:pt>
                    </c:numCache>
                  </c:numRef>
                </c:yVal>
                <c:smooth val="0"/>
                <c:extLst>
                  <c:ext xmlns:c16="http://schemas.microsoft.com/office/drawing/2014/chart" uri="{C3380CC4-5D6E-409C-BE32-E72D297353CC}">
                    <c16:uniqueId val="{00000005-CE13-4EBB-880A-F89C363E79D8}"/>
                  </c:ext>
                </c:extLst>
              </c15:ser>
            </c15:filteredScatterSeries>
          </c:ext>
        </c:extLst>
      </c:scatterChart>
      <c:valAx>
        <c:axId val="194929232"/>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9712"/>
        <c:crosses val="autoZero"/>
        <c:crossBetween val="midCat"/>
      </c:valAx>
      <c:valAx>
        <c:axId val="19492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9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198120</xdr:colOff>
      <xdr:row>0</xdr:row>
      <xdr:rowOff>45720</xdr:rowOff>
    </xdr:from>
    <xdr:to>
      <xdr:col>2</xdr:col>
      <xdr:colOff>594360</xdr:colOff>
      <xdr:row>0</xdr:row>
      <xdr:rowOff>441960</xdr:rowOff>
    </xdr:to>
    <xdr:pic>
      <xdr:nvPicPr>
        <xdr:cNvPr id="2" name="Picture 1">
          <a:extLst>
            <a:ext uri="{FF2B5EF4-FFF2-40B4-BE49-F238E27FC236}">
              <a16:creationId xmlns:a16="http://schemas.microsoft.com/office/drawing/2014/main" id="{47F46230-A312-4AD3-99C9-06D0979FBB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4060" y="45720"/>
          <a:ext cx="396240" cy="396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213360</xdr:colOff>
      <xdr:row>0</xdr:row>
      <xdr:rowOff>171450</xdr:rowOff>
    </xdr:from>
    <xdr:to>
      <xdr:col>20</xdr:col>
      <xdr:colOff>518160</xdr:colOff>
      <xdr:row>15</xdr:row>
      <xdr:rowOff>171450</xdr:rowOff>
    </xdr:to>
    <xdr:graphicFrame macro="">
      <xdr:nvGraphicFramePr>
        <xdr:cNvPr id="2" name="Chart 1">
          <a:extLst>
            <a:ext uri="{FF2B5EF4-FFF2-40B4-BE49-F238E27FC236}">
              <a16:creationId xmlns:a16="http://schemas.microsoft.com/office/drawing/2014/main" id="{4B905A6B-CD18-3EDB-DEB6-0F276893A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16</xdr:row>
      <xdr:rowOff>179070</xdr:rowOff>
    </xdr:from>
    <xdr:to>
      <xdr:col>16</xdr:col>
      <xdr:colOff>312420</xdr:colOff>
      <xdr:row>31</xdr:row>
      <xdr:rowOff>179070</xdr:rowOff>
    </xdr:to>
    <xdr:graphicFrame macro="">
      <xdr:nvGraphicFramePr>
        <xdr:cNvPr id="3" name="Chart 2">
          <a:extLst>
            <a:ext uri="{FF2B5EF4-FFF2-40B4-BE49-F238E27FC236}">
              <a16:creationId xmlns:a16="http://schemas.microsoft.com/office/drawing/2014/main" id="{CB6765B7-5F0E-37D4-7422-1F30CFE36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32</xdr:row>
      <xdr:rowOff>171450</xdr:rowOff>
    </xdr:from>
    <xdr:to>
      <xdr:col>16</xdr:col>
      <xdr:colOff>304800</xdr:colOff>
      <xdr:row>47</xdr:row>
      <xdr:rowOff>171450</xdr:rowOff>
    </xdr:to>
    <xdr:graphicFrame macro="">
      <xdr:nvGraphicFramePr>
        <xdr:cNvPr id="4" name="Chart 3">
          <a:extLst>
            <a:ext uri="{FF2B5EF4-FFF2-40B4-BE49-F238E27FC236}">
              <a16:creationId xmlns:a16="http://schemas.microsoft.com/office/drawing/2014/main" id="{93FAF032-59B2-1B0B-F219-7108E1B78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50</xdr:row>
      <xdr:rowOff>0</xdr:rowOff>
    </xdr:from>
    <xdr:to>
      <xdr:col>16</xdr:col>
      <xdr:colOff>304800</xdr:colOff>
      <xdr:row>74</xdr:row>
      <xdr:rowOff>99060</xdr:rowOff>
    </xdr:to>
    <xdr:graphicFrame macro="">
      <xdr:nvGraphicFramePr>
        <xdr:cNvPr id="6" name="Chart 5">
          <a:extLst>
            <a:ext uri="{FF2B5EF4-FFF2-40B4-BE49-F238E27FC236}">
              <a16:creationId xmlns:a16="http://schemas.microsoft.com/office/drawing/2014/main" id="{86445C36-7947-469A-AC38-F9672A831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335280</xdr:colOff>
      <xdr:row>0</xdr:row>
      <xdr:rowOff>0</xdr:rowOff>
    </xdr:from>
    <xdr:to>
      <xdr:col>8</xdr:col>
      <xdr:colOff>178560</xdr:colOff>
      <xdr:row>20</xdr:row>
      <xdr:rowOff>122400</xdr:rowOff>
    </xdr:to>
    <mc:AlternateContent xmlns:mc="http://schemas.openxmlformats.org/markup-compatibility/2006">
      <mc:Choice xmlns:a14="http://schemas.microsoft.com/office/drawing/2010/main" Requires="a14">
        <xdr:graphicFrame macro="">
          <xdr:nvGraphicFramePr>
            <xdr:cNvPr id="7" name="User_ID">
              <a:extLst>
                <a:ext uri="{FF2B5EF4-FFF2-40B4-BE49-F238E27FC236}">
                  <a16:creationId xmlns:a16="http://schemas.microsoft.com/office/drawing/2014/main" id="{999327EC-2BF6-39BE-0142-47C7A0B10182}"/>
                </a:ext>
              </a:extLst>
            </xdr:cNvPr>
            <xdr:cNvGraphicFramePr/>
          </xdr:nvGraphicFramePr>
          <xdr:xfrm>
            <a:off x="0" y="0"/>
            <a:ext cx="0" cy="0"/>
          </xdr:xfrm>
          <a:graphic>
            <a:graphicData uri="http://schemas.microsoft.com/office/drawing/2010/slicer">
              <sle:slicer xmlns:sle="http://schemas.microsoft.com/office/drawing/2010/slicer" name="User_ID"/>
            </a:graphicData>
          </a:graphic>
        </xdr:graphicFrame>
      </mc:Choice>
      <mc:Fallback>
        <xdr:sp macro="" textlink="">
          <xdr:nvSpPr>
            <xdr:cNvPr id="0" name=""/>
            <xdr:cNvSpPr>
              <a:spLocks noTextEdit="1"/>
            </xdr:cNvSpPr>
          </xdr:nvSpPr>
          <xdr:spPr>
            <a:xfrm>
              <a:off x="3505200" y="0"/>
              <a:ext cx="2556000" cy="37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1</xdr:row>
      <xdr:rowOff>152400</xdr:rowOff>
    </xdr:from>
    <xdr:to>
      <xdr:col>13</xdr:col>
      <xdr:colOff>244740</xdr:colOff>
      <xdr:row>15</xdr:row>
      <xdr:rowOff>173355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BB99C31-9CDA-87DE-D5EB-64212AB652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31380" y="335280"/>
              <a:ext cx="19440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342900</xdr:colOff>
      <xdr:row>0</xdr:row>
      <xdr:rowOff>83820</xdr:rowOff>
    </xdr:from>
    <xdr:to>
      <xdr:col>6</xdr:col>
      <xdr:colOff>281940</xdr:colOff>
      <xdr:row>2</xdr:row>
      <xdr:rowOff>266700</xdr:rowOff>
    </xdr:to>
    <xdr:pic>
      <xdr:nvPicPr>
        <xdr:cNvPr id="2" name="Picture 1">
          <a:extLst>
            <a:ext uri="{FF2B5EF4-FFF2-40B4-BE49-F238E27FC236}">
              <a16:creationId xmlns:a16="http://schemas.microsoft.com/office/drawing/2014/main" id="{6E33E556-55E4-4049-8C7F-6EBDA0BC9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0900" y="83820"/>
          <a:ext cx="548640" cy="548640"/>
        </a:xfrm>
        <a:prstGeom prst="rect">
          <a:avLst/>
        </a:prstGeom>
      </xdr:spPr>
    </xdr:pic>
    <xdr:clientData/>
  </xdr:twoCellAnchor>
  <xdr:twoCellAnchor editAs="oneCell">
    <xdr:from>
      <xdr:col>20</xdr:col>
      <xdr:colOff>38100</xdr:colOff>
      <xdr:row>14</xdr:row>
      <xdr:rowOff>83820</xdr:rowOff>
    </xdr:from>
    <xdr:to>
      <xdr:col>23</xdr:col>
      <xdr:colOff>167640</xdr:colOff>
      <xdr:row>35</xdr:row>
      <xdr:rowOff>23340</xdr:rowOff>
    </xdr:to>
    <mc:AlternateContent xmlns:mc="http://schemas.openxmlformats.org/markup-compatibility/2006">
      <mc:Choice xmlns:a14="http://schemas.microsoft.com/office/drawing/2010/main" Requires="a14">
        <xdr:graphicFrame macro="">
          <xdr:nvGraphicFramePr>
            <xdr:cNvPr id="3" name="User_ID 1">
              <a:extLst>
                <a:ext uri="{FF2B5EF4-FFF2-40B4-BE49-F238E27FC236}">
                  <a16:creationId xmlns:a16="http://schemas.microsoft.com/office/drawing/2014/main" id="{FAFE06A6-7D83-4C6A-B27B-0BCB6EECFBAA}"/>
                </a:ext>
              </a:extLst>
            </xdr:cNvPr>
            <xdr:cNvGraphicFramePr/>
          </xdr:nvGraphicFramePr>
          <xdr:xfrm>
            <a:off x="0" y="0"/>
            <a:ext cx="0" cy="0"/>
          </xdr:xfrm>
          <a:graphic>
            <a:graphicData uri="http://schemas.microsoft.com/office/drawing/2010/slicer">
              <sle:slicer xmlns:sle="http://schemas.microsoft.com/office/drawing/2010/slicer" name="User_ID 1"/>
            </a:graphicData>
          </a:graphic>
        </xdr:graphicFrame>
      </mc:Choice>
      <mc:Fallback>
        <xdr:sp macro="" textlink="">
          <xdr:nvSpPr>
            <xdr:cNvPr id="0" name=""/>
            <xdr:cNvSpPr>
              <a:spLocks noTextEdit="1"/>
            </xdr:cNvSpPr>
          </xdr:nvSpPr>
          <xdr:spPr>
            <a:xfrm>
              <a:off x="12230100" y="2865120"/>
              <a:ext cx="1958340" cy="37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2</xdr:row>
      <xdr:rowOff>350521</xdr:rowOff>
    </xdr:from>
    <xdr:to>
      <xdr:col>23</xdr:col>
      <xdr:colOff>198120</xdr:colOff>
      <xdr:row>14</xdr:row>
      <xdr:rowOff>38101</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51BD147D-A6D8-43DF-8483-35BE4028723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199620" y="716281"/>
              <a:ext cx="20193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8</xdr:row>
      <xdr:rowOff>30480</xdr:rowOff>
    </xdr:from>
    <xdr:to>
      <xdr:col>10</xdr:col>
      <xdr:colOff>91440</xdr:colOff>
      <xdr:row>20</xdr:row>
      <xdr:rowOff>114300</xdr:rowOff>
    </xdr:to>
    <xdr:graphicFrame macro="">
      <xdr:nvGraphicFramePr>
        <xdr:cNvPr id="6" name="Chart 5">
          <a:extLst>
            <a:ext uri="{FF2B5EF4-FFF2-40B4-BE49-F238E27FC236}">
              <a16:creationId xmlns:a16="http://schemas.microsoft.com/office/drawing/2014/main" id="{1493150A-D196-424A-969B-5A38D217B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129540</xdr:colOff>
      <xdr:row>8</xdr:row>
      <xdr:rowOff>30480</xdr:rowOff>
    </xdr:from>
    <xdr:to>
      <xdr:col>19</xdr:col>
      <xdr:colOff>579120</xdr:colOff>
      <xdr:row>20</xdr:row>
      <xdr:rowOff>114300</xdr:rowOff>
    </xdr:to>
    <xdr:graphicFrame macro="">
      <xdr:nvGraphicFramePr>
        <xdr:cNvPr id="7" name="Chart 6">
          <a:extLst>
            <a:ext uri="{FF2B5EF4-FFF2-40B4-BE49-F238E27FC236}">
              <a16:creationId xmlns:a16="http://schemas.microsoft.com/office/drawing/2014/main" id="{6085593F-B93B-4446-A210-88AF95CC3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129540</xdr:colOff>
      <xdr:row>21</xdr:row>
      <xdr:rowOff>0</xdr:rowOff>
    </xdr:from>
    <xdr:to>
      <xdr:col>19</xdr:col>
      <xdr:colOff>586740</xdr:colOff>
      <xdr:row>35</xdr:row>
      <xdr:rowOff>129540</xdr:rowOff>
    </xdr:to>
    <xdr:graphicFrame macro="">
      <xdr:nvGraphicFramePr>
        <xdr:cNvPr id="8" name="Chart 7">
          <a:extLst>
            <a:ext uri="{FF2B5EF4-FFF2-40B4-BE49-F238E27FC236}">
              <a16:creationId xmlns:a16="http://schemas.microsoft.com/office/drawing/2014/main" id="{A0005F80-B4DE-4E82-9C04-08FA4F22C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21</xdr:row>
      <xdr:rowOff>7620</xdr:rowOff>
    </xdr:from>
    <xdr:to>
      <xdr:col>10</xdr:col>
      <xdr:colOff>91440</xdr:colOff>
      <xdr:row>35</xdr:row>
      <xdr:rowOff>106680</xdr:rowOff>
    </xdr:to>
    <xdr:graphicFrame macro="">
      <xdr:nvGraphicFramePr>
        <xdr:cNvPr id="9" name="Chart 8">
          <a:extLst>
            <a:ext uri="{FF2B5EF4-FFF2-40B4-BE49-F238E27FC236}">
              <a16:creationId xmlns:a16="http://schemas.microsoft.com/office/drawing/2014/main" id="{551DFB5D-EEB2-4AA4-AB23-51071A14F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aj" refreshedDate="45961.112131018519" createdVersion="8" refreshedVersion="8" minRefreshableVersion="3" recordCount="500" xr:uid="{D0F0C211-15B7-46B8-8ED5-470FD7CE0F0C}">
  <cacheSource type="worksheet">
    <worksheetSource name="Table2"/>
  </cacheSource>
  <cacheFields count="8">
    <cacheField name="User_ID" numFmtId="0">
      <sharedItems count="50">
        <s v="U001"/>
        <s v="U002"/>
        <s v="U003"/>
        <s v="U004"/>
        <s v="U005"/>
        <s v="U006"/>
        <s v="U007"/>
        <s v="U008"/>
        <s v="U009"/>
        <s v="U010"/>
        <s v="U011"/>
        <s v="U012"/>
        <s v="U013"/>
        <s v="U014"/>
        <s v="U015"/>
        <s v="U016"/>
        <s v="U017"/>
        <s v="U018"/>
        <s v="U019"/>
        <s v="U020"/>
        <s v="U021"/>
        <s v="U022"/>
        <s v="U023"/>
        <s v="U024"/>
        <s v="U025"/>
        <s v="U026"/>
        <s v="U027"/>
        <s v="U028"/>
        <s v="U029"/>
        <s v="U030"/>
        <s v="U031"/>
        <s v="U032"/>
        <s v="U033"/>
        <s v="U034"/>
        <s v="U035"/>
        <s v="U036"/>
        <s v="U037"/>
        <s v="U038"/>
        <s v="U039"/>
        <s v="U040"/>
        <s v="U041"/>
        <s v="U042"/>
        <s v="U043"/>
        <s v="U044"/>
        <s v="U045"/>
        <s v="U046"/>
        <s v="U047"/>
        <s v="U048"/>
        <s v="U049"/>
        <s v="U050"/>
      </sharedItems>
    </cacheField>
    <cacheField name="Post_ID" numFmtId="0">
      <sharedItems/>
    </cacheField>
    <cacheField name="Category" numFmtId="0">
      <sharedItems count="6">
        <s v="Sports"/>
        <s v="Tech"/>
        <s v="Fashion"/>
        <s v="Food"/>
        <s v="Travel"/>
        <s v="Entertainment"/>
      </sharedItems>
    </cacheField>
    <cacheField name="Likes" numFmtId="0">
      <sharedItems containsSemiMixedTypes="0" containsString="0" containsNumber="1" containsInteger="1" minValue="0" maxValue="50"/>
    </cacheField>
    <cacheField name="Comments" numFmtId="0">
      <sharedItems containsSemiMixedTypes="0" containsString="0" containsNumber="1" containsInteger="1" minValue="0" maxValue="10"/>
    </cacheField>
    <cacheField name="Watch_Time(sec)" numFmtId="0">
      <sharedItems containsSemiMixedTypes="0" containsString="0" containsNumber="1" containsInteger="1" minValue="0" maxValue="120"/>
    </cacheField>
    <cacheField name="Saves" numFmtId="0">
      <sharedItems containsSemiMixedTypes="0" containsString="0" containsNumber="1" containsInteger="1" minValue="0" maxValue="5"/>
    </cacheField>
    <cacheField name="Engagement_Score" numFmtId="0">
      <sharedItems containsSemiMixedTypes="0" containsString="0" containsNumber="1" minValue="5.85" maxValue="84.75"/>
    </cacheField>
  </cacheFields>
  <extLst>
    <ext xmlns:x14="http://schemas.microsoft.com/office/spreadsheetml/2009/9/main" uri="{725AE2AE-9491-48be-B2B4-4EB974FC3084}">
      <x14:pivotCacheDefinition pivotCacheId="1419794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P098"/>
    <x v="0"/>
    <n v="34"/>
    <n v="6"/>
    <n v="42"/>
    <n v="5"/>
    <n v="63.1"/>
  </r>
  <r>
    <x v="0"/>
    <s v="P103"/>
    <x v="0"/>
    <n v="7"/>
    <n v="5"/>
    <n v="117"/>
    <n v="5"/>
    <n v="37.85"/>
  </r>
  <r>
    <x v="0"/>
    <s v="P134"/>
    <x v="1"/>
    <n v="24"/>
    <n v="1"/>
    <n v="118"/>
    <n v="0"/>
    <n v="31.9"/>
  </r>
  <r>
    <x v="0"/>
    <s v="P140"/>
    <x v="0"/>
    <n v="39"/>
    <n v="4"/>
    <n v="68"/>
    <n v="3"/>
    <n v="59.4"/>
  </r>
  <r>
    <x v="0"/>
    <s v="P186"/>
    <x v="2"/>
    <n v="3"/>
    <n v="9"/>
    <n v="46"/>
    <n v="4"/>
    <n v="35.299999999999997"/>
  </r>
  <r>
    <x v="0"/>
    <s v="P224"/>
    <x v="0"/>
    <n v="35"/>
    <n v="10"/>
    <n v="63"/>
    <n v="4"/>
    <n v="70.150000000000006"/>
  </r>
  <r>
    <x v="0"/>
    <s v="P265"/>
    <x v="1"/>
    <n v="10"/>
    <n v="9"/>
    <n v="14"/>
    <n v="0"/>
    <n v="28.7"/>
  </r>
  <r>
    <x v="0"/>
    <s v="P281"/>
    <x v="3"/>
    <n v="23"/>
    <n v="7"/>
    <n v="71"/>
    <n v="4"/>
    <n v="52.55"/>
  </r>
  <r>
    <x v="0"/>
    <s v="P415"/>
    <x v="4"/>
    <n v="43"/>
    <n v="7"/>
    <n v="99"/>
    <n v="4"/>
    <n v="73.95"/>
  </r>
  <r>
    <x v="0"/>
    <s v="P467"/>
    <x v="5"/>
    <n v="39"/>
    <n v="6"/>
    <n v="59"/>
    <n v="4"/>
    <n v="65.95"/>
  </r>
  <r>
    <x v="0"/>
    <s v="P468"/>
    <x v="2"/>
    <n v="33"/>
    <n v="8"/>
    <n v="45"/>
    <n v="1"/>
    <n v="54.25"/>
  </r>
  <r>
    <x v="0"/>
    <s v="P476"/>
    <x v="4"/>
    <n v="20"/>
    <n v="4"/>
    <n v="108"/>
    <n v="0"/>
    <n v="33.4"/>
  </r>
  <r>
    <x v="1"/>
    <s v="P018"/>
    <x v="0"/>
    <n v="36"/>
    <n v="8"/>
    <n v="33"/>
    <n v="5"/>
    <n v="68.650000000000006"/>
  </r>
  <r>
    <x v="1"/>
    <s v="P023"/>
    <x v="0"/>
    <n v="1"/>
    <n v="8"/>
    <n v="114"/>
    <n v="3"/>
    <n v="31.7"/>
  </r>
  <r>
    <x v="1"/>
    <s v="P051"/>
    <x v="2"/>
    <n v="11"/>
    <n v="6"/>
    <n v="108"/>
    <n v="5"/>
    <n v="43.4"/>
  </r>
  <r>
    <x v="1"/>
    <s v="P066"/>
    <x v="2"/>
    <n v="9"/>
    <n v="6"/>
    <n v="88"/>
    <n v="0"/>
    <n v="25.4"/>
  </r>
  <r>
    <x v="1"/>
    <s v="P171"/>
    <x v="1"/>
    <n v="9"/>
    <n v="9"/>
    <n v="49"/>
    <n v="0"/>
    <n v="29.45"/>
  </r>
  <r>
    <x v="1"/>
    <s v="P210"/>
    <x v="5"/>
    <n v="45"/>
    <n v="2"/>
    <n v="0"/>
    <n v="5"/>
    <n v="64"/>
  </r>
  <r>
    <x v="1"/>
    <s v="P217"/>
    <x v="1"/>
    <n v="24"/>
    <n v="4"/>
    <n v="68"/>
    <n v="1"/>
    <n v="38.4"/>
  </r>
  <r>
    <x v="1"/>
    <s v="P218"/>
    <x v="4"/>
    <n v="32"/>
    <n v="10"/>
    <n v="104"/>
    <n v="4"/>
    <n v="69.2"/>
  </r>
  <r>
    <x v="1"/>
    <s v="P226"/>
    <x v="5"/>
    <n v="3"/>
    <n v="9"/>
    <n v="62"/>
    <n v="4"/>
    <n v="36.1"/>
  </r>
  <r>
    <x v="1"/>
    <s v="P280"/>
    <x v="1"/>
    <n v="5"/>
    <n v="1"/>
    <n v="98"/>
    <n v="2"/>
    <n v="17.899999999999999"/>
  </r>
  <r>
    <x v="1"/>
    <s v="P314"/>
    <x v="0"/>
    <n v="44"/>
    <n v="10"/>
    <n v="113"/>
    <n v="0"/>
    <n v="69.650000000000006"/>
  </r>
  <r>
    <x v="1"/>
    <s v="P391"/>
    <x v="4"/>
    <n v="35"/>
    <n v="0"/>
    <n v="21"/>
    <n v="4"/>
    <n v="48.05"/>
  </r>
  <r>
    <x v="1"/>
    <s v="P394"/>
    <x v="1"/>
    <n v="1"/>
    <n v="1"/>
    <n v="85"/>
    <n v="1"/>
    <n v="10.25"/>
  </r>
  <r>
    <x v="1"/>
    <s v="P425"/>
    <x v="2"/>
    <n v="50"/>
    <n v="5"/>
    <n v="54"/>
    <n v="4"/>
    <n v="74.7"/>
  </r>
  <r>
    <x v="2"/>
    <s v="P016"/>
    <x v="1"/>
    <n v="30"/>
    <n v="1"/>
    <n v="65"/>
    <n v="2"/>
    <n v="41.25"/>
  </r>
  <r>
    <x v="2"/>
    <s v="P038"/>
    <x v="1"/>
    <n v="25"/>
    <n v="10"/>
    <n v="99"/>
    <n v="4"/>
    <n v="61.95"/>
  </r>
  <r>
    <x v="2"/>
    <s v="P139"/>
    <x v="4"/>
    <n v="13"/>
    <n v="0"/>
    <n v="58"/>
    <n v="1"/>
    <n v="18.899999999999999"/>
  </r>
  <r>
    <x v="2"/>
    <s v="P190"/>
    <x v="0"/>
    <n v="26"/>
    <n v="2"/>
    <n v="118"/>
    <n v="3"/>
    <n v="44.9"/>
  </r>
  <r>
    <x v="2"/>
    <s v="P211"/>
    <x v="3"/>
    <n v="42"/>
    <n v="8"/>
    <n v="18"/>
    <n v="2"/>
    <n v="64.900000000000006"/>
  </r>
  <r>
    <x v="2"/>
    <s v="P249"/>
    <x v="1"/>
    <n v="35"/>
    <n v="10"/>
    <n v="12"/>
    <n v="3"/>
    <n v="64.599999999999994"/>
  </r>
  <r>
    <x v="2"/>
    <s v="P254"/>
    <x v="3"/>
    <n v="14"/>
    <n v="9"/>
    <n v="74"/>
    <n v="1"/>
    <n v="38.700000000000003"/>
  </r>
  <r>
    <x v="2"/>
    <s v="P293"/>
    <x v="0"/>
    <n v="16"/>
    <n v="3"/>
    <n v="65"/>
    <n v="4"/>
    <n v="37.25"/>
  </r>
  <r>
    <x v="2"/>
    <s v="P328"/>
    <x v="5"/>
    <n v="48"/>
    <n v="6"/>
    <n v="74"/>
    <n v="1"/>
    <n v="66.7"/>
  </r>
  <r>
    <x v="2"/>
    <s v="P377"/>
    <x v="3"/>
    <n v="20"/>
    <n v="0"/>
    <n v="35"/>
    <n v="5"/>
    <n v="36.75"/>
  </r>
  <r>
    <x v="2"/>
    <s v="P382"/>
    <x v="3"/>
    <n v="6"/>
    <n v="8"/>
    <n v="53"/>
    <n v="2"/>
    <n v="30.65"/>
  </r>
  <r>
    <x v="2"/>
    <s v="P482"/>
    <x v="4"/>
    <n v="50"/>
    <n v="2"/>
    <n v="35"/>
    <n v="1"/>
    <n v="58.75"/>
  </r>
  <r>
    <x v="3"/>
    <s v="P045"/>
    <x v="3"/>
    <n v="3"/>
    <n v="0"/>
    <n v="77"/>
    <n v="0"/>
    <n v="6.85"/>
  </r>
  <r>
    <x v="3"/>
    <s v="P065"/>
    <x v="3"/>
    <n v="49"/>
    <n v="0"/>
    <n v="16"/>
    <n v="1"/>
    <n v="52.8"/>
  </r>
  <r>
    <x v="3"/>
    <s v="P069"/>
    <x v="3"/>
    <n v="9"/>
    <n v="5"/>
    <n v="65"/>
    <n v="2"/>
    <n v="28.25"/>
  </r>
  <r>
    <x v="3"/>
    <s v="P156"/>
    <x v="3"/>
    <n v="29"/>
    <n v="1"/>
    <n v="56"/>
    <n v="5"/>
    <n v="48.8"/>
  </r>
  <r>
    <x v="3"/>
    <s v="P232"/>
    <x v="2"/>
    <n v="27"/>
    <n v="1"/>
    <n v="12"/>
    <n v="2"/>
    <n v="35.6"/>
  </r>
  <r>
    <x v="3"/>
    <s v="P320"/>
    <x v="0"/>
    <n v="17"/>
    <n v="6"/>
    <n v="106"/>
    <n v="0"/>
    <n v="34.299999999999997"/>
  </r>
  <r>
    <x v="3"/>
    <s v="P353"/>
    <x v="2"/>
    <n v="0"/>
    <n v="1"/>
    <n v="17"/>
    <n v="1"/>
    <n v="5.85"/>
  </r>
  <r>
    <x v="3"/>
    <s v="P444"/>
    <x v="5"/>
    <n v="36"/>
    <n v="8"/>
    <n v="31"/>
    <n v="0"/>
    <n v="53.55"/>
  </r>
  <r>
    <x v="4"/>
    <s v="P113"/>
    <x v="4"/>
    <n v="18"/>
    <n v="10"/>
    <n v="48"/>
    <n v="3"/>
    <n v="49.4"/>
  </r>
  <r>
    <x v="4"/>
    <s v="P141"/>
    <x v="2"/>
    <n v="39"/>
    <n v="8"/>
    <n v="32"/>
    <n v="0"/>
    <n v="56.6"/>
  </r>
  <r>
    <x v="4"/>
    <s v="P237"/>
    <x v="2"/>
    <n v="13"/>
    <n v="7"/>
    <n v="104"/>
    <n v="3"/>
    <n v="41.2"/>
  </r>
  <r>
    <x v="4"/>
    <s v="P284"/>
    <x v="5"/>
    <n v="28"/>
    <n v="2"/>
    <n v="73"/>
    <n v="4"/>
    <n v="47.65"/>
  </r>
  <r>
    <x v="4"/>
    <s v="P350"/>
    <x v="2"/>
    <n v="6"/>
    <n v="0"/>
    <n v="105"/>
    <n v="3"/>
    <n v="20.25"/>
  </r>
  <r>
    <x v="4"/>
    <s v="P442"/>
    <x v="2"/>
    <n v="33"/>
    <n v="8"/>
    <n v="91"/>
    <n v="5"/>
    <n v="68.55"/>
  </r>
  <r>
    <x v="4"/>
    <s v="P479"/>
    <x v="0"/>
    <n v="1"/>
    <n v="1"/>
    <n v="103"/>
    <n v="5"/>
    <n v="23.15"/>
  </r>
  <r>
    <x v="4"/>
    <s v="P491"/>
    <x v="5"/>
    <n v="35"/>
    <n v="2"/>
    <n v="12"/>
    <n v="3"/>
    <n v="48.6"/>
  </r>
  <r>
    <x v="4"/>
    <s v="P496"/>
    <x v="1"/>
    <n v="33"/>
    <n v="4"/>
    <n v="4"/>
    <n v="5"/>
    <n v="56.2"/>
  </r>
  <r>
    <x v="5"/>
    <s v="P067"/>
    <x v="3"/>
    <n v="4"/>
    <n v="9"/>
    <n v="120"/>
    <n v="4"/>
    <n v="40"/>
  </r>
  <r>
    <x v="5"/>
    <s v="P174"/>
    <x v="5"/>
    <n v="12"/>
    <n v="9"/>
    <n v="7"/>
    <n v="2"/>
    <n v="36.35"/>
  </r>
  <r>
    <x v="5"/>
    <s v="P192"/>
    <x v="1"/>
    <n v="50"/>
    <n v="1"/>
    <n v="42"/>
    <n v="3"/>
    <n v="63.1"/>
  </r>
  <r>
    <x v="5"/>
    <s v="P230"/>
    <x v="1"/>
    <n v="41"/>
    <n v="4"/>
    <n v="88"/>
    <n v="3"/>
    <n v="62.4"/>
  </r>
  <r>
    <x v="5"/>
    <s v="P239"/>
    <x v="4"/>
    <n v="40"/>
    <n v="1"/>
    <n v="67"/>
    <n v="1"/>
    <n v="48.35"/>
  </r>
  <r>
    <x v="5"/>
    <s v="P246"/>
    <x v="3"/>
    <n v="20"/>
    <n v="7"/>
    <n v="69"/>
    <n v="2"/>
    <n v="43.45"/>
  </r>
  <r>
    <x v="5"/>
    <s v="P362"/>
    <x v="0"/>
    <n v="32"/>
    <n v="0"/>
    <n v="6"/>
    <n v="0"/>
    <n v="32.299999999999997"/>
  </r>
  <r>
    <x v="5"/>
    <s v="P434"/>
    <x v="4"/>
    <n v="8"/>
    <n v="9"/>
    <n v="118"/>
    <n v="3"/>
    <n v="40.9"/>
  </r>
  <r>
    <x v="5"/>
    <s v="P445"/>
    <x v="2"/>
    <n v="10"/>
    <n v="6"/>
    <n v="10"/>
    <n v="1"/>
    <n v="25.5"/>
  </r>
  <r>
    <x v="6"/>
    <s v="P040"/>
    <x v="0"/>
    <n v="44"/>
    <n v="0"/>
    <n v="93"/>
    <n v="2"/>
    <n v="54.65"/>
  </r>
  <r>
    <x v="6"/>
    <s v="P055"/>
    <x v="3"/>
    <n v="13"/>
    <n v="7"/>
    <n v="59"/>
    <n v="3"/>
    <n v="38.950000000000003"/>
  </r>
  <r>
    <x v="6"/>
    <s v="P100"/>
    <x v="3"/>
    <n v="39"/>
    <n v="7"/>
    <n v="0"/>
    <n v="5"/>
    <n v="68"/>
  </r>
  <r>
    <x v="6"/>
    <s v="P118"/>
    <x v="1"/>
    <n v="44"/>
    <n v="6"/>
    <n v="27"/>
    <n v="0"/>
    <n v="57.35"/>
  </r>
  <r>
    <x v="6"/>
    <s v="P168"/>
    <x v="4"/>
    <n v="1"/>
    <n v="10"/>
    <n v="44"/>
    <n v="2"/>
    <n v="29.2"/>
  </r>
  <r>
    <x v="6"/>
    <s v="P258"/>
    <x v="3"/>
    <n v="8"/>
    <n v="6"/>
    <n v="70"/>
    <n v="0"/>
    <n v="23.5"/>
  </r>
  <r>
    <x v="6"/>
    <s v="P275"/>
    <x v="0"/>
    <n v="43"/>
    <n v="10"/>
    <n v="34"/>
    <n v="5"/>
    <n v="79.7"/>
  </r>
  <r>
    <x v="6"/>
    <s v="P327"/>
    <x v="5"/>
    <n v="27"/>
    <n v="8"/>
    <n v="35"/>
    <n v="0"/>
    <n v="44.75"/>
  </r>
  <r>
    <x v="6"/>
    <s v="P411"/>
    <x v="5"/>
    <n v="33"/>
    <n v="5"/>
    <n v="67"/>
    <n v="1"/>
    <n v="49.35"/>
  </r>
  <r>
    <x v="7"/>
    <s v="P005"/>
    <x v="5"/>
    <n v="5"/>
    <n v="3"/>
    <n v="59"/>
    <n v="3"/>
    <n v="22.95"/>
  </r>
  <r>
    <x v="7"/>
    <s v="P057"/>
    <x v="2"/>
    <n v="36"/>
    <n v="1"/>
    <n v="13"/>
    <n v="3"/>
    <n v="47.65"/>
  </r>
  <r>
    <x v="7"/>
    <s v="P081"/>
    <x v="1"/>
    <n v="10"/>
    <n v="3"/>
    <n v="30"/>
    <n v="2"/>
    <n v="23.5"/>
  </r>
  <r>
    <x v="7"/>
    <s v="P105"/>
    <x v="4"/>
    <n v="40"/>
    <n v="1"/>
    <n v="27"/>
    <n v="4"/>
    <n v="55.35"/>
  </r>
  <r>
    <x v="7"/>
    <s v="P109"/>
    <x v="4"/>
    <n v="34"/>
    <n v="6"/>
    <n v="46"/>
    <n v="1"/>
    <n v="51.3"/>
  </r>
  <r>
    <x v="7"/>
    <s v="P120"/>
    <x v="0"/>
    <n v="24"/>
    <n v="0"/>
    <n v="78"/>
    <n v="5"/>
    <n v="42.9"/>
  </r>
  <r>
    <x v="7"/>
    <s v="P193"/>
    <x v="3"/>
    <n v="50"/>
    <n v="0"/>
    <n v="73"/>
    <n v="5"/>
    <n v="68.650000000000006"/>
  </r>
  <r>
    <x v="7"/>
    <s v="P300"/>
    <x v="5"/>
    <n v="39"/>
    <n v="9"/>
    <n v="11"/>
    <n v="3"/>
    <n v="66.55"/>
  </r>
  <r>
    <x v="7"/>
    <s v="P326"/>
    <x v="2"/>
    <n v="1"/>
    <n v="2"/>
    <n v="24"/>
    <n v="0"/>
    <n v="6.2"/>
  </r>
  <r>
    <x v="7"/>
    <s v="P340"/>
    <x v="0"/>
    <n v="9"/>
    <n v="4"/>
    <n v="116"/>
    <n v="3"/>
    <n v="31.8"/>
  </r>
  <r>
    <x v="7"/>
    <s v="P416"/>
    <x v="2"/>
    <n v="23"/>
    <n v="1"/>
    <n v="59"/>
    <n v="2"/>
    <n v="33.950000000000003"/>
  </r>
  <r>
    <x v="7"/>
    <s v="P439"/>
    <x v="4"/>
    <n v="25"/>
    <n v="2"/>
    <n v="36"/>
    <n v="5"/>
    <n v="45.8"/>
  </r>
  <r>
    <x v="8"/>
    <s v="P042"/>
    <x v="1"/>
    <n v="4"/>
    <n v="9"/>
    <n v="41"/>
    <n v="4"/>
    <n v="36.049999999999997"/>
  </r>
  <r>
    <x v="8"/>
    <s v="P049"/>
    <x v="3"/>
    <n v="19"/>
    <n v="4"/>
    <n v="68"/>
    <n v="3"/>
    <n v="39.4"/>
  </r>
  <r>
    <x v="8"/>
    <s v="P101"/>
    <x v="1"/>
    <n v="21"/>
    <n v="0"/>
    <n v="56"/>
    <n v="2"/>
    <n v="29.8"/>
  </r>
  <r>
    <x v="8"/>
    <s v="P119"/>
    <x v="4"/>
    <n v="41"/>
    <n v="3"/>
    <n v="110"/>
    <n v="4"/>
    <n v="64.5"/>
  </r>
  <r>
    <x v="8"/>
    <s v="P146"/>
    <x v="5"/>
    <n v="5"/>
    <n v="10"/>
    <n v="105"/>
    <n v="3"/>
    <n v="39.25"/>
  </r>
  <r>
    <x v="8"/>
    <s v="P195"/>
    <x v="5"/>
    <n v="35"/>
    <n v="2"/>
    <n v="113"/>
    <n v="4"/>
    <n v="56.65"/>
  </r>
  <r>
    <x v="8"/>
    <s v="P245"/>
    <x v="4"/>
    <n v="36"/>
    <n v="2"/>
    <n v="18"/>
    <n v="1"/>
    <n v="43.9"/>
  </r>
  <r>
    <x v="8"/>
    <s v="P287"/>
    <x v="0"/>
    <n v="25"/>
    <n v="8"/>
    <n v="8"/>
    <n v="2"/>
    <n v="47.4"/>
  </r>
  <r>
    <x v="8"/>
    <s v="P399"/>
    <x v="3"/>
    <n v="10"/>
    <n v="0"/>
    <n v="14"/>
    <n v="2"/>
    <n v="16.7"/>
  </r>
  <r>
    <x v="8"/>
    <s v="P465"/>
    <x v="0"/>
    <n v="5"/>
    <n v="1"/>
    <n v="102"/>
    <n v="4"/>
    <n v="24.1"/>
  </r>
  <r>
    <x v="9"/>
    <s v="P075"/>
    <x v="4"/>
    <n v="19"/>
    <n v="2"/>
    <n v="75"/>
    <n v="3"/>
    <n v="35.75"/>
  </r>
  <r>
    <x v="10"/>
    <s v="P010"/>
    <x v="3"/>
    <n v="29"/>
    <n v="0"/>
    <n v="95"/>
    <n v="5"/>
    <n v="48.75"/>
  </r>
  <r>
    <x v="10"/>
    <s v="P011"/>
    <x v="4"/>
    <n v="30"/>
    <n v="10"/>
    <n v="104"/>
    <n v="1"/>
    <n v="58.2"/>
  </r>
  <r>
    <x v="10"/>
    <s v="P107"/>
    <x v="0"/>
    <n v="13"/>
    <n v="9"/>
    <n v="106"/>
    <n v="1"/>
    <n v="39.299999999999997"/>
  </r>
  <r>
    <x v="10"/>
    <s v="P181"/>
    <x v="3"/>
    <n v="28"/>
    <n v="6"/>
    <n v="95"/>
    <n v="3"/>
    <n v="53.75"/>
  </r>
  <r>
    <x v="10"/>
    <s v="P233"/>
    <x v="5"/>
    <n v="30"/>
    <n v="7"/>
    <n v="72"/>
    <n v="0"/>
    <n v="47.6"/>
  </r>
  <r>
    <x v="10"/>
    <s v="P241"/>
    <x v="2"/>
    <n v="10"/>
    <n v="10"/>
    <n v="101"/>
    <n v="3"/>
    <n v="44.05"/>
  </r>
  <r>
    <x v="10"/>
    <s v="P266"/>
    <x v="3"/>
    <n v="37"/>
    <n v="9"/>
    <n v="20"/>
    <n v="1"/>
    <n v="59"/>
  </r>
  <r>
    <x v="10"/>
    <s v="P298"/>
    <x v="3"/>
    <n v="21"/>
    <n v="5"/>
    <n v="25"/>
    <n v="3"/>
    <n v="41.25"/>
  </r>
  <r>
    <x v="11"/>
    <s v="P026"/>
    <x v="4"/>
    <n v="10"/>
    <n v="9"/>
    <n v="117"/>
    <n v="4"/>
    <n v="45.85"/>
  </r>
  <r>
    <x v="11"/>
    <s v="P121"/>
    <x v="4"/>
    <n v="17"/>
    <n v="4"/>
    <n v="5"/>
    <n v="0"/>
    <n v="25.25"/>
  </r>
  <r>
    <x v="11"/>
    <s v="P208"/>
    <x v="3"/>
    <n v="46"/>
    <n v="10"/>
    <n v="67"/>
    <n v="5"/>
    <n v="84.35"/>
  </r>
  <r>
    <x v="11"/>
    <s v="P283"/>
    <x v="0"/>
    <n v="48"/>
    <n v="5"/>
    <n v="77"/>
    <n v="0"/>
    <n v="61.85"/>
  </r>
  <r>
    <x v="11"/>
    <s v="P332"/>
    <x v="4"/>
    <n v="50"/>
    <n v="1"/>
    <n v="20"/>
    <n v="4"/>
    <n v="65"/>
  </r>
  <r>
    <x v="11"/>
    <s v="P420"/>
    <x v="5"/>
    <n v="45"/>
    <n v="0"/>
    <n v="17"/>
    <n v="1"/>
    <n v="48.85"/>
  </r>
  <r>
    <x v="11"/>
    <s v="P466"/>
    <x v="0"/>
    <n v="26"/>
    <n v="5"/>
    <n v="23"/>
    <n v="5"/>
    <n v="52.15"/>
  </r>
  <r>
    <x v="11"/>
    <s v="P483"/>
    <x v="5"/>
    <n v="35"/>
    <n v="5"/>
    <n v="2"/>
    <n v="3"/>
    <n v="54.1"/>
  </r>
  <r>
    <x v="11"/>
    <s v="P497"/>
    <x v="3"/>
    <n v="46"/>
    <n v="9"/>
    <n v="43"/>
    <n v="4"/>
    <n v="78.150000000000006"/>
  </r>
  <r>
    <x v="12"/>
    <s v="P151"/>
    <x v="2"/>
    <n v="41"/>
    <n v="5"/>
    <n v="42"/>
    <n v="4"/>
    <n v="65.099999999999994"/>
  </r>
  <r>
    <x v="12"/>
    <s v="P166"/>
    <x v="3"/>
    <n v="3"/>
    <n v="2"/>
    <n v="83"/>
    <n v="1"/>
    <n v="14.15"/>
  </r>
  <r>
    <x v="12"/>
    <s v="P188"/>
    <x v="4"/>
    <n v="44"/>
    <n v="10"/>
    <n v="64"/>
    <n v="3"/>
    <n v="76.2"/>
  </r>
  <r>
    <x v="12"/>
    <s v="P410"/>
    <x v="3"/>
    <n v="8"/>
    <n v="5"/>
    <n v="36"/>
    <n v="4"/>
    <n v="31.8"/>
  </r>
  <r>
    <x v="12"/>
    <s v="P453"/>
    <x v="1"/>
    <n v="33"/>
    <n v="6"/>
    <n v="63"/>
    <n v="4"/>
    <n v="60.15"/>
  </r>
  <r>
    <x v="13"/>
    <s v="P047"/>
    <x v="5"/>
    <n v="19"/>
    <n v="2"/>
    <n v="118"/>
    <n v="5"/>
    <n v="43.9"/>
  </r>
  <r>
    <x v="13"/>
    <s v="P060"/>
    <x v="2"/>
    <n v="12"/>
    <n v="9"/>
    <n v="88"/>
    <n v="5"/>
    <n v="49.4"/>
  </r>
  <r>
    <x v="13"/>
    <s v="P077"/>
    <x v="3"/>
    <n v="36"/>
    <n v="1"/>
    <n v="35"/>
    <n v="1"/>
    <n v="42.75"/>
  </r>
  <r>
    <x v="13"/>
    <s v="P082"/>
    <x v="4"/>
    <n v="14"/>
    <n v="6"/>
    <n v="10"/>
    <n v="5"/>
    <n v="41.5"/>
  </r>
  <r>
    <x v="13"/>
    <s v="P138"/>
    <x v="2"/>
    <n v="1"/>
    <n v="8"/>
    <n v="116"/>
    <n v="4"/>
    <n v="34.799999999999997"/>
  </r>
  <r>
    <x v="13"/>
    <s v="P143"/>
    <x v="4"/>
    <n v="38"/>
    <n v="8"/>
    <n v="50"/>
    <n v="4"/>
    <n v="68.5"/>
  </r>
  <r>
    <x v="13"/>
    <s v="P322"/>
    <x v="2"/>
    <n v="13"/>
    <n v="1"/>
    <n v="79"/>
    <n v="5"/>
    <n v="33.950000000000003"/>
  </r>
  <r>
    <x v="13"/>
    <s v="P419"/>
    <x v="0"/>
    <n v="29"/>
    <n v="0"/>
    <n v="88"/>
    <n v="2"/>
    <n v="39.4"/>
  </r>
  <r>
    <x v="13"/>
    <s v="P489"/>
    <x v="0"/>
    <n v="39"/>
    <n v="9"/>
    <n v="102"/>
    <n v="2"/>
    <n v="68.099999999999994"/>
  </r>
  <r>
    <x v="14"/>
    <s v="P003"/>
    <x v="0"/>
    <n v="20"/>
    <n v="9"/>
    <n v="107"/>
    <n v="2"/>
    <n v="49.35"/>
  </r>
  <r>
    <x v="14"/>
    <s v="P035"/>
    <x v="1"/>
    <n v="14"/>
    <n v="1"/>
    <n v="98"/>
    <n v="3"/>
    <n v="29.9"/>
  </r>
  <r>
    <x v="14"/>
    <s v="P080"/>
    <x v="0"/>
    <n v="8"/>
    <n v="1"/>
    <n v="46"/>
    <n v="5"/>
    <n v="27.3"/>
  </r>
  <r>
    <x v="14"/>
    <s v="P096"/>
    <x v="5"/>
    <n v="11"/>
    <n v="9"/>
    <n v="19"/>
    <n v="5"/>
    <n v="44.95"/>
  </r>
  <r>
    <x v="14"/>
    <s v="P147"/>
    <x v="5"/>
    <n v="2"/>
    <n v="9"/>
    <n v="19"/>
    <n v="4"/>
    <n v="32.950000000000003"/>
  </r>
  <r>
    <x v="14"/>
    <s v="P148"/>
    <x v="3"/>
    <n v="6"/>
    <n v="4"/>
    <n v="52"/>
    <n v="5"/>
    <n v="31.6"/>
  </r>
  <r>
    <x v="14"/>
    <s v="P162"/>
    <x v="5"/>
    <n v="32"/>
    <n v="7"/>
    <n v="49"/>
    <n v="2"/>
    <n v="54.45"/>
  </r>
  <r>
    <x v="14"/>
    <s v="P201"/>
    <x v="5"/>
    <n v="10"/>
    <n v="3"/>
    <n v="103"/>
    <n v="3"/>
    <n v="30.15"/>
  </r>
  <r>
    <x v="14"/>
    <s v="P422"/>
    <x v="3"/>
    <n v="31"/>
    <n v="0"/>
    <n v="35"/>
    <n v="2"/>
    <n v="38.75"/>
  </r>
  <r>
    <x v="14"/>
    <s v="P435"/>
    <x v="0"/>
    <n v="21"/>
    <n v="6"/>
    <n v="20"/>
    <n v="5"/>
    <n v="49"/>
  </r>
  <r>
    <x v="15"/>
    <s v="P034"/>
    <x v="1"/>
    <n v="1"/>
    <n v="5"/>
    <n v="96"/>
    <n v="3"/>
    <n v="24.8"/>
  </r>
  <r>
    <x v="15"/>
    <s v="P086"/>
    <x v="3"/>
    <n v="29"/>
    <n v="9"/>
    <n v="13"/>
    <n v="4"/>
    <n v="59.65"/>
  </r>
  <r>
    <x v="15"/>
    <s v="P243"/>
    <x v="2"/>
    <n v="0"/>
    <n v="5"/>
    <n v="3"/>
    <n v="3"/>
    <n v="19.149999999999999"/>
  </r>
  <r>
    <x v="15"/>
    <s v="P247"/>
    <x v="0"/>
    <n v="25"/>
    <n v="0"/>
    <n v="97"/>
    <n v="0"/>
    <n v="29.85"/>
  </r>
  <r>
    <x v="15"/>
    <s v="P276"/>
    <x v="5"/>
    <n v="50"/>
    <n v="0"/>
    <n v="43"/>
    <n v="0"/>
    <n v="52.15"/>
  </r>
  <r>
    <x v="15"/>
    <s v="P292"/>
    <x v="1"/>
    <n v="6"/>
    <n v="3"/>
    <n v="47"/>
    <n v="0"/>
    <n v="14.35"/>
  </r>
  <r>
    <x v="15"/>
    <s v="P316"/>
    <x v="3"/>
    <n v="29"/>
    <n v="5"/>
    <n v="42"/>
    <n v="0"/>
    <n v="41.1"/>
  </r>
  <r>
    <x v="15"/>
    <s v="P418"/>
    <x v="2"/>
    <n v="9"/>
    <n v="1"/>
    <n v="73"/>
    <n v="3"/>
    <n v="23.65"/>
  </r>
  <r>
    <x v="15"/>
    <s v="P452"/>
    <x v="5"/>
    <n v="37"/>
    <n v="10"/>
    <n v="1"/>
    <n v="2"/>
    <n v="63.05"/>
  </r>
  <r>
    <x v="15"/>
    <s v="P477"/>
    <x v="2"/>
    <n v="27"/>
    <n v="6"/>
    <n v="109"/>
    <n v="3"/>
    <n v="53.45"/>
  </r>
  <r>
    <x v="15"/>
    <s v="P485"/>
    <x v="0"/>
    <n v="25"/>
    <n v="7"/>
    <n v="7"/>
    <n v="5"/>
    <n v="54.35"/>
  </r>
  <r>
    <x v="15"/>
    <s v="P498"/>
    <x v="5"/>
    <n v="23"/>
    <n v="7"/>
    <n v="26"/>
    <n v="3"/>
    <n v="47.3"/>
  </r>
  <r>
    <x v="16"/>
    <s v="P061"/>
    <x v="1"/>
    <n v="42"/>
    <n v="8"/>
    <n v="83"/>
    <n v="3"/>
    <n v="71.150000000000006"/>
  </r>
  <r>
    <x v="16"/>
    <s v="P108"/>
    <x v="1"/>
    <n v="29"/>
    <n v="1"/>
    <n v="36"/>
    <n v="2"/>
    <n v="38.799999999999997"/>
  </r>
  <r>
    <x v="16"/>
    <s v="P215"/>
    <x v="4"/>
    <n v="39"/>
    <n v="7"/>
    <n v="52"/>
    <n v="4"/>
    <n v="67.599999999999994"/>
  </r>
  <r>
    <x v="16"/>
    <s v="P234"/>
    <x v="4"/>
    <n v="8"/>
    <n v="2"/>
    <n v="116"/>
    <n v="3"/>
    <n v="26.8"/>
  </r>
  <r>
    <x v="16"/>
    <s v="P329"/>
    <x v="1"/>
    <n v="49"/>
    <n v="6"/>
    <n v="50"/>
    <n v="5"/>
    <n v="78.5"/>
  </r>
  <r>
    <x v="16"/>
    <s v="P356"/>
    <x v="1"/>
    <n v="22"/>
    <n v="8"/>
    <n v="76"/>
    <n v="5"/>
    <n v="56.8"/>
  </r>
  <r>
    <x v="16"/>
    <s v="P396"/>
    <x v="1"/>
    <n v="46"/>
    <n v="5"/>
    <n v="8"/>
    <n v="3"/>
    <n v="65.400000000000006"/>
  </r>
  <r>
    <x v="16"/>
    <s v="P458"/>
    <x v="5"/>
    <n v="11"/>
    <n v="9"/>
    <n v="66"/>
    <n v="3"/>
    <n v="41.3"/>
  </r>
  <r>
    <x v="17"/>
    <s v="P044"/>
    <x v="3"/>
    <n v="25"/>
    <n v="6"/>
    <n v="13"/>
    <n v="3"/>
    <n v="46.65"/>
  </r>
  <r>
    <x v="17"/>
    <s v="P071"/>
    <x v="0"/>
    <n v="1"/>
    <n v="6"/>
    <n v="100"/>
    <n v="0"/>
    <n v="18"/>
  </r>
  <r>
    <x v="17"/>
    <s v="P088"/>
    <x v="0"/>
    <n v="48"/>
    <n v="0"/>
    <n v="73"/>
    <n v="1"/>
    <n v="54.65"/>
  </r>
  <r>
    <x v="17"/>
    <s v="P263"/>
    <x v="5"/>
    <n v="24"/>
    <n v="2"/>
    <n v="75"/>
    <n v="3"/>
    <n v="40.75"/>
  </r>
  <r>
    <x v="17"/>
    <s v="P311"/>
    <x v="5"/>
    <n v="29"/>
    <n v="2"/>
    <n v="86"/>
    <n v="1"/>
    <n v="40.299999999999997"/>
  </r>
  <r>
    <x v="17"/>
    <s v="P313"/>
    <x v="5"/>
    <n v="48"/>
    <n v="6"/>
    <n v="45"/>
    <n v="3"/>
    <n v="71.25"/>
  </r>
  <r>
    <x v="17"/>
    <s v="P378"/>
    <x v="2"/>
    <n v="13"/>
    <n v="3"/>
    <n v="83"/>
    <n v="3"/>
    <n v="32.15"/>
  </r>
  <r>
    <x v="18"/>
    <s v="P008"/>
    <x v="2"/>
    <n v="29"/>
    <n v="3"/>
    <n v="48"/>
    <n v="2"/>
    <n v="43.4"/>
  </r>
  <r>
    <x v="18"/>
    <s v="P225"/>
    <x v="3"/>
    <n v="47"/>
    <n v="4"/>
    <n v="69"/>
    <n v="4"/>
    <n v="70.45"/>
  </r>
  <r>
    <x v="18"/>
    <s v="P252"/>
    <x v="0"/>
    <n v="50"/>
    <n v="8"/>
    <n v="82"/>
    <n v="1"/>
    <n v="73.099999999999994"/>
  </r>
  <r>
    <x v="18"/>
    <s v="P255"/>
    <x v="4"/>
    <n v="20"/>
    <n v="3"/>
    <n v="0"/>
    <n v="4"/>
    <n v="38"/>
  </r>
  <r>
    <x v="18"/>
    <s v="P290"/>
    <x v="2"/>
    <n v="20"/>
    <n v="5"/>
    <n v="25"/>
    <n v="2"/>
    <n v="37.25"/>
  </r>
  <r>
    <x v="18"/>
    <s v="P352"/>
    <x v="2"/>
    <n v="7"/>
    <n v="5"/>
    <n v="29"/>
    <n v="0"/>
    <n v="18.45"/>
  </r>
  <r>
    <x v="18"/>
    <s v="P457"/>
    <x v="2"/>
    <n v="37"/>
    <n v="5"/>
    <n v="17"/>
    <n v="3"/>
    <n v="56.85"/>
  </r>
  <r>
    <x v="18"/>
    <s v="P459"/>
    <x v="1"/>
    <n v="22"/>
    <n v="5"/>
    <n v="41"/>
    <n v="1"/>
    <n v="37.049999999999997"/>
  </r>
  <r>
    <x v="19"/>
    <s v="P052"/>
    <x v="1"/>
    <n v="46"/>
    <n v="4"/>
    <n v="40"/>
    <n v="1"/>
    <n v="59"/>
  </r>
  <r>
    <x v="19"/>
    <s v="P179"/>
    <x v="5"/>
    <n v="23"/>
    <n v="4"/>
    <n v="7"/>
    <n v="5"/>
    <n v="46.35"/>
  </r>
  <r>
    <x v="19"/>
    <s v="P250"/>
    <x v="5"/>
    <n v="22"/>
    <n v="8"/>
    <n v="104"/>
    <n v="4"/>
    <n v="55.2"/>
  </r>
  <r>
    <x v="19"/>
    <s v="P256"/>
    <x v="3"/>
    <n v="46"/>
    <n v="10"/>
    <n v="87"/>
    <n v="0"/>
    <n v="70.349999999999994"/>
  </r>
  <r>
    <x v="19"/>
    <s v="P294"/>
    <x v="3"/>
    <n v="19"/>
    <n v="1"/>
    <n v="69"/>
    <n v="3"/>
    <n v="33.450000000000003"/>
  </r>
  <r>
    <x v="19"/>
    <s v="P304"/>
    <x v="3"/>
    <n v="31"/>
    <n v="9"/>
    <n v="36"/>
    <n v="2"/>
    <n v="56.8"/>
  </r>
  <r>
    <x v="19"/>
    <s v="P325"/>
    <x v="2"/>
    <n v="49"/>
    <n v="0"/>
    <n v="14"/>
    <n v="0"/>
    <n v="49.7"/>
  </r>
  <r>
    <x v="19"/>
    <s v="P414"/>
    <x v="0"/>
    <n v="21"/>
    <n v="9"/>
    <n v="18"/>
    <n v="3"/>
    <n v="48.9"/>
  </r>
  <r>
    <x v="20"/>
    <s v="P006"/>
    <x v="3"/>
    <n v="47"/>
    <n v="2"/>
    <n v="23"/>
    <n v="4"/>
    <n v="64.150000000000006"/>
  </r>
  <r>
    <x v="20"/>
    <s v="P024"/>
    <x v="4"/>
    <n v="19"/>
    <n v="10"/>
    <n v="114"/>
    <n v="4"/>
    <n v="56.7"/>
  </r>
  <r>
    <x v="20"/>
    <s v="P041"/>
    <x v="2"/>
    <n v="43"/>
    <n v="0"/>
    <n v="86"/>
    <n v="5"/>
    <n v="62.3"/>
  </r>
  <r>
    <x v="20"/>
    <s v="P085"/>
    <x v="5"/>
    <n v="34"/>
    <n v="10"/>
    <n v="117"/>
    <n v="3"/>
    <n v="68.849999999999994"/>
  </r>
  <r>
    <x v="20"/>
    <s v="P323"/>
    <x v="4"/>
    <n v="50"/>
    <n v="1"/>
    <n v="46"/>
    <n v="3"/>
    <n v="63.3"/>
  </r>
  <r>
    <x v="20"/>
    <s v="P344"/>
    <x v="5"/>
    <n v="33"/>
    <n v="5"/>
    <n v="28"/>
    <n v="0"/>
    <n v="44.4"/>
  </r>
  <r>
    <x v="20"/>
    <s v="P373"/>
    <x v="2"/>
    <n v="42"/>
    <n v="2"/>
    <n v="41"/>
    <n v="5"/>
    <n v="63.05"/>
  </r>
  <r>
    <x v="21"/>
    <s v="P017"/>
    <x v="2"/>
    <n v="39"/>
    <n v="4"/>
    <n v="78"/>
    <n v="1"/>
    <n v="53.9"/>
  </r>
  <r>
    <x v="21"/>
    <s v="P027"/>
    <x v="4"/>
    <n v="3"/>
    <n v="8"/>
    <n v="11"/>
    <n v="0"/>
    <n v="19.55"/>
  </r>
  <r>
    <x v="21"/>
    <s v="P131"/>
    <x v="5"/>
    <n v="22"/>
    <n v="0"/>
    <n v="25"/>
    <n v="2"/>
    <n v="29.25"/>
  </r>
  <r>
    <x v="21"/>
    <s v="P169"/>
    <x v="5"/>
    <n v="9"/>
    <n v="1"/>
    <n v="51"/>
    <n v="1"/>
    <n v="16.55"/>
  </r>
  <r>
    <x v="21"/>
    <s v="P240"/>
    <x v="2"/>
    <n v="21"/>
    <n v="7"/>
    <n v="97"/>
    <n v="5"/>
    <n v="54.85"/>
  </r>
  <r>
    <x v="21"/>
    <s v="P333"/>
    <x v="0"/>
    <n v="3"/>
    <n v="3"/>
    <n v="12"/>
    <n v="3"/>
    <n v="18.600000000000001"/>
  </r>
  <r>
    <x v="21"/>
    <s v="P334"/>
    <x v="5"/>
    <n v="0"/>
    <n v="5"/>
    <n v="85"/>
    <n v="3"/>
    <n v="23.25"/>
  </r>
  <r>
    <x v="21"/>
    <s v="P389"/>
    <x v="1"/>
    <n v="47"/>
    <n v="7"/>
    <n v="12"/>
    <n v="1"/>
    <n v="64.599999999999994"/>
  </r>
  <r>
    <x v="21"/>
    <s v="P428"/>
    <x v="5"/>
    <n v="8"/>
    <n v="5"/>
    <n v="46"/>
    <n v="2"/>
    <n v="26.3"/>
  </r>
  <r>
    <x v="21"/>
    <s v="P430"/>
    <x v="1"/>
    <n v="1"/>
    <n v="9"/>
    <n v="98"/>
    <n v="0"/>
    <n v="23.9"/>
  </r>
  <r>
    <x v="21"/>
    <s v="P431"/>
    <x v="3"/>
    <n v="44"/>
    <n v="9"/>
    <n v="107"/>
    <n v="4"/>
    <n v="79.349999999999994"/>
  </r>
  <r>
    <x v="21"/>
    <s v="P480"/>
    <x v="3"/>
    <n v="42"/>
    <n v="5"/>
    <n v="100"/>
    <n v="2"/>
    <n v="63"/>
  </r>
  <r>
    <x v="21"/>
    <s v="P487"/>
    <x v="1"/>
    <n v="20"/>
    <n v="10"/>
    <n v="69"/>
    <n v="5"/>
    <n v="58.45"/>
  </r>
  <r>
    <x v="22"/>
    <s v="P009"/>
    <x v="5"/>
    <n v="10"/>
    <n v="10"/>
    <n v="50"/>
    <n v="5"/>
    <n v="47.5"/>
  </r>
  <r>
    <x v="22"/>
    <s v="P083"/>
    <x v="2"/>
    <n v="23"/>
    <n v="2"/>
    <n v="9"/>
    <n v="2"/>
    <n v="33.450000000000003"/>
  </r>
  <r>
    <x v="22"/>
    <s v="P125"/>
    <x v="3"/>
    <n v="39"/>
    <n v="9"/>
    <n v="113"/>
    <n v="5"/>
    <n v="77.650000000000006"/>
  </r>
  <r>
    <x v="22"/>
    <s v="P159"/>
    <x v="1"/>
    <n v="35"/>
    <n v="3"/>
    <n v="55"/>
    <n v="2"/>
    <n v="49.75"/>
  </r>
  <r>
    <x v="22"/>
    <s v="P220"/>
    <x v="2"/>
    <n v="39"/>
    <n v="1"/>
    <n v="61"/>
    <n v="4"/>
    <n v="56.05"/>
  </r>
  <r>
    <x v="22"/>
    <s v="P270"/>
    <x v="5"/>
    <n v="26"/>
    <n v="1"/>
    <n v="88"/>
    <n v="4"/>
    <n v="44.4"/>
  </r>
  <r>
    <x v="22"/>
    <s v="P375"/>
    <x v="4"/>
    <n v="3"/>
    <n v="8"/>
    <n v="41"/>
    <n v="5"/>
    <n v="36.049999999999997"/>
  </r>
  <r>
    <x v="22"/>
    <s v="P390"/>
    <x v="5"/>
    <n v="18"/>
    <n v="10"/>
    <n v="118"/>
    <n v="4"/>
    <n v="55.9"/>
  </r>
  <r>
    <x v="22"/>
    <s v="P421"/>
    <x v="2"/>
    <n v="22"/>
    <n v="8"/>
    <n v="18"/>
    <n v="1"/>
    <n v="41.9"/>
  </r>
  <r>
    <x v="22"/>
    <s v="P427"/>
    <x v="0"/>
    <n v="13"/>
    <n v="1"/>
    <n v="68"/>
    <n v="2"/>
    <n v="24.4"/>
  </r>
  <r>
    <x v="22"/>
    <s v="P464"/>
    <x v="2"/>
    <n v="30"/>
    <n v="10"/>
    <n v="74"/>
    <n v="5"/>
    <n v="68.7"/>
  </r>
  <r>
    <x v="23"/>
    <s v="P012"/>
    <x v="2"/>
    <n v="23"/>
    <n v="10"/>
    <n v="35"/>
    <n v="3"/>
    <n v="53.75"/>
  </r>
  <r>
    <x v="23"/>
    <s v="P015"/>
    <x v="2"/>
    <n v="50"/>
    <n v="9"/>
    <n v="99"/>
    <n v="0"/>
    <n v="72.95"/>
  </r>
  <r>
    <x v="23"/>
    <s v="P019"/>
    <x v="3"/>
    <n v="35"/>
    <n v="8"/>
    <n v="35"/>
    <n v="3"/>
    <n v="61.75"/>
  </r>
  <r>
    <x v="23"/>
    <s v="P090"/>
    <x v="0"/>
    <n v="43"/>
    <n v="2"/>
    <n v="9"/>
    <n v="0"/>
    <n v="47.45"/>
  </r>
  <r>
    <x v="23"/>
    <s v="P102"/>
    <x v="1"/>
    <n v="28"/>
    <n v="3"/>
    <n v="63"/>
    <n v="3"/>
    <n v="46.15"/>
  </r>
  <r>
    <x v="23"/>
    <s v="P106"/>
    <x v="3"/>
    <n v="36"/>
    <n v="0"/>
    <n v="120"/>
    <n v="2"/>
    <n v="48"/>
  </r>
  <r>
    <x v="23"/>
    <s v="P126"/>
    <x v="0"/>
    <n v="13"/>
    <n v="8"/>
    <n v="77"/>
    <n v="5"/>
    <n v="47.85"/>
  </r>
  <r>
    <x v="23"/>
    <s v="P200"/>
    <x v="0"/>
    <n v="19"/>
    <n v="8"/>
    <n v="46"/>
    <n v="2"/>
    <n v="43.3"/>
  </r>
  <r>
    <x v="23"/>
    <s v="P204"/>
    <x v="2"/>
    <n v="37"/>
    <n v="10"/>
    <n v="90"/>
    <n v="4"/>
    <n v="73.5"/>
  </r>
  <r>
    <x v="23"/>
    <s v="P236"/>
    <x v="3"/>
    <n v="28"/>
    <n v="2"/>
    <n v="30"/>
    <n v="4"/>
    <n v="45.5"/>
  </r>
  <r>
    <x v="23"/>
    <s v="P295"/>
    <x v="5"/>
    <n v="40"/>
    <n v="3"/>
    <n v="27"/>
    <n v="4"/>
    <n v="59.35"/>
  </r>
  <r>
    <x v="23"/>
    <s v="P297"/>
    <x v="0"/>
    <n v="19"/>
    <n v="0"/>
    <n v="92"/>
    <n v="5"/>
    <n v="38.6"/>
  </r>
  <r>
    <x v="23"/>
    <s v="P366"/>
    <x v="1"/>
    <n v="33"/>
    <n v="1"/>
    <n v="38"/>
    <n v="5"/>
    <n v="51.9"/>
  </r>
  <r>
    <x v="23"/>
    <s v="P385"/>
    <x v="1"/>
    <n v="32"/>
    <n v="4"/>
    <n v="119"/>
    <n v="3"/>
    <n v="54.95"/>
  </r>
  <r>
    <x v="23"/>
    <s v="P409"/>
    <x v="5"/>
    <n v="29"/>
    <n v="8"/>
    <n v="90"/>
    <n v="0"/>
    <n v="49.5"/>
  </r>
  <r>
    <x v="24"/>
    <s v="P029"/>
    <x v="1"/>
    <n v="5"/>
    <n v="2"/>
    <n v="108"/>
    <n v="5"/>
    <n v="29.4"/>
  </r>
  <r>
    <x v="24"/>
    <s v="P046"/>
    <x v="4"/>
    <n v="18"/>
    <n v="7"/>
    <n v="1"/>
    <n v="0"/>
    <n v="32.049999999999997"/>
  </r>
  <r>
    <x v="24"/>
    <s v="P092"/>
    <x v="0"/>
    <n v="13"/>
    <n v="2"/>
    <n v="93"/>
    <n v="5"/>
    <n v="36.65"/>
  </r>
  <r>
    <x v="24"/>
    <s v="P099"/>
    <x v="5"/>
    <n v="0"/>
    <n v="6"/>
    <n v="75"/>
    <n v="5"/>
    <n v="30.75"/>
  </r>
  <r>
    <x v="24"/>
    <s v="P183"/>
    <x v="2"/>
    <n v="4"/>
    <n v="8"/>
    <n v="4"/>
    <n v="3"/>
    <n v="29.2"/>
  </r>
  <r>
    <x v="24"/>
    <s v="P268"/>
    <x v="2"/>
    <n v="6"/>
    <n v="4"/>
    <n v="59"/>
    <n v="1"/>
    <n v="19.95"/>
  </r>
  <r>
    <x v="24"/>
    <s v="P307"/>
    <x v="2"/>
    <n v="22"/>
    <n v="1"/>
    <n v="99"/>
    <n v="4"/>
    <n v="40.950000000000003"/>
  </r>
  <r>
    <x v="24"/>
    <s v="P309"/>
    <x v="0"/>
    <n v="18"/>
    <n v="3"/>
    <n v="42"/>
    <n v="5"/>
    <n v="41.1"/>
  </r>
  <r>
    <x v="24"/>
    <s v="P379"/>
    <x v="5"/>
    <n v="30"/>
    <n v="3"/>
    <n v="67"/>
    <n v="2"/>
    <n v="45.35"/>
  </r>
  <r>
    <x v="24"/>
    <s v="P408"/>
    <x v="3"/>
    <n v="37"/>
    <n v="0"/>
    <n v="25"/>
    <n v="3"/>
    <n v="47.25"/>
  </r>
  <r>
    <x v="24"/>
    <s v="P429"/>
    <x v="5"/>
    <n v="39"/>
    <n v="6"/>
    <n v="48"/>
    <n v="1"/>
    <n v="56.4"/>
  </r>
  <r>
    <x v="24"/>
    <s v="P473"/>
    <x v="3"/>
    <n v="44"/>
    <n v="3"/>
    <n v="41"/>
    <n v="0"/>
    <n v="52.05"/>
  </r>
  <r>
    <x v="25"/>
    <s v="P050"/>
    <x v="1"/>
    <n v="48"/>
    <n v="0"/>
    <n v="37"/>
    <n v="5"/>
    <n v="64.849999999999994"/>
  </r>
  <r>
    <x v="25"/>
    <s v="P072"/>
    <x v="3"/>
    <n v="12"/>
    <n v="4"/>
    <n v="4"/>
    <n v="0"/>
    <n v="20.2"/>
  </r>
  <r>
    <x v="25"/>
    <s v="P091"/>
    <x v="1"/>
    <n v="49"/>
    <n v="1"/>
    <n v="75"/>
    <n v="1"/>
    <n v="57.75"/>
  </r>
  <r>
    <x v="25"/>
    <s v="P142"/>
    <x v="2"/>
    <n v="50"/>
    <n v="0"/>
    <n v="112"/>
    <n v="3"/>
    <n v="64.599999999999994"/>
  </r>
  <r>
    <x v="25"/>
    <s v="P149"/>
    <x v="2"/>
    <n v="50"/>
    <n v="4"/>
    <n v="113"/>
    <n v="3"/>
    <n v="72.650000000000006"/>
  </r>
  <r>
    <x v="25"/>
    <s v="P228"/>
    <x v="1"/>
    <n v="36"/>
    <n v="5"/>
    <n v="32"/>
    <n v="4"/>
    <n v="59.6"/>
  </r>
  <r>
    <x v="25"/>
    <s v="P253"/>
    <x v="0"/>
    <n v="39"/>
    <n v="4"/>
    <n v="108"/>
    <n v="4"/>
    <n v="64.400000000000006"/>
  </r>
  <r>
    <x v="25"/>
    <s v="P277"/>
    <x v="0"/>
    <n v="23"/>
    <n v="8"/>
    <n v="101"/>
    <n v="0"/>
    <n v="44.05"/>
  </r>
  <r>
    <x v="25"/>
    <s v="P395"/>
    <x v="1"/>
    <n v="0"/>
    <n v="1"/>
    <n v="91"/>
    <n v="2"/>
    <n v="12.55"/>
  </r>
  <r>
    <x v="25"/>
    <s v="P405"/>
    <x v="2"/>
    <n v="19"/>
    <n v="2"/>
    <n v="23"/>
    <n v="2"/>
    <n v="30.15"/>
  </r>
  <r>
    <x v="25"/>
    <s v="P461"/>
    <x v="0"/>
    <n v="21"/>
    <n v="2"/>
    <n v="38"/>
    <n v="2"/>
    <n v="32.9"/>
  </r>
  <r>
    <x v="25"/>
    <s v="P463"/>
    <x v="4"/>
    <n v="26"/>
    <n v="9"/>
    <n v="112"/>
    <n v="4"/>
    <n v="61.6"/>
  </r>
  <r>
    <x v="25"/>
    <s v="P484"/>
    <x v="2"/>
    <n v="50"/>
    <n v="4"/>
    <n v="72"/>
    <n v="3"/>
    <n v="70.599999999999994"/>
  </r>
  <r>
    <x v="25"/>
    <s v="P499"/>
    <x v="3"/>
    <n v="21"/>
    <n v="3"/>
    <n v="31"/>
    <n v="5"/>
    <n v="43.55"/>
  </r>
  <r>
    <x v="25"/>
    <s v="P500"/>
    <x v="0"/>
    <n v="4"/>
    <n v="4"/>
    <n v="20"/>
    <n v="1"/>
    <n v="16"/>
  </r>
  <r>
    <x v="26"/>
    <s v="P031"/>
    <x v="0"/>
    <n v="29"/>
    <n v="1"/>
    <n v="39"/>
    <n v="0"/>
    <n v="32.950000000000003"/>
  </r>
  <r>
    <x v="26"/>
    <s v="P132"/>
    <x v="2"/>
    <n v="14"/>
    <n v="2"/>
    <n v="28"/>
    <n v="0"/>
    <n v="19.399999999999999"/>
  </r>
  <r>
    <x v="26"/>
    <s v="P145"/>
    <x v="3"/>
    <n v="5"/>
    <n v="3"/>
    <n v="11"/>
    <n v="3"/>
    <n v="20.55"/>
  </r>
  <r>
    <x v="26"/>
    <s v="P187"/>
    <x v="4"/>
    <n v="11"/>
    <n v="0"/>
    <n v="33"/>
    <n v="3"/>
    <n v="21.65"/>
  </r>
  <r>
    <x v="26"/>
    <s v="P194"/>
    <x v="4"/>
    <n v="35"/>
    <n v="7"/>
    <n v="29"/>
    <n v="1"/>
    <n v="53.45"/>
  </r>
  <r>
    <x v="26"/>
    <s v="P341"/>
    <x v="0"/>
    <n v="9"/>
    <n v="4"/>
    <n v="51"/>
    <n v="1"/>
    <n v="22.55"/>
  </r>
  <r>
    <x v="26"/>
    <s v="P342"/>
    <x v="3"/>
    <n v="18"/>
    <n v="10"/>
    <n v="109"/>
    <n v="2"/>
    <n v="49.45"/>
  </r>
  <r>
    <x v="26"/>
    <s v="P392"/>
    <x v="4"/>
    <n v="28"/>
    <n v="7"/>
    <n v="117"/>
    <n v="3"/>
    <n v="56.85"/>
  </r>
  <r>
    <x v="27"/>
    <s v="P033"/>
    <x v="3"/>
    <n v="50"/>
    <n v="2"/>
    <n v="14"/>
    <n v="0"/>
    <n v="54.7"/>
  </r>
  <r>
    <x v="27"/>
    <s v="P053"/>
    <x v="0"/>
    <n v="0"/>
    <n v="5"/>
    <n v="61"/>
    <n v="0"/>
    <n v="13.05"/>
  </r>
  <r>
    <x v="27"/>
    <s v="P117"/>
    <x v="3"/>
    <n v="24"/>
    <n v="10"/>
    <n v="55"/>
    <n v="1"/>
    <n v="49.75"/>
  </r>
  <r>
    <x v="27"/>
    <s v="P170"/>
    <x v="4"/>
    <n v="4"/>
    <n v="8"/>
    <n v="79"/>
    <n v="4"/>
    <n v="35.950000000000003"/>
  </r>
  <r>
    <x v="27"/>
    <s v="P175"/>
    <x v="1"/>
    <n v="30"/>
    <n v="2"/>
    <n v="113"/>
    <n v="4"/>
    <n v="51.65"/>
  </r>
  <r>
    <x v="27"/>
    <s v="P176"/>
    <x v="2"/>
    <n v="46"/>
    <n v="7"/>
    <n v="84"/>
    <n v="0"/>
    <n v="64.2"/>
  </r>
  <r>
    <x v="27"/>
    <s v="P182"/>
    <x v="3"/>
    <n v="7"/>
    <n v="0"/>
    <n v="101"/>
    <n v="0"/>
    <n v="12.05"/>
  </r>
  <r>
    <x v="27"/>
    <s v="P219"/>
    <x v="0"/>
    <n v="46"/>
    <n v="10"/>
    <n v="89"/>
    <n v="0"/>
    <n v="70.45"/>
  </r>
  <r>
    <x v="27"/>
    <s v="P267"/>
    <x v="0"/>
    <n v="1"/>
    <n v="10"/>
    <n v="18"/>
    <n v="1"/>
    <n v="24.9"/>
  </r>
  <r>
    <x v="27"/>
    <s v="P347"/>
    <x v="1"/>
    <n v="27"/>
    <n v="4"/>
    <n v="34"/>
    <n v="0"/>
    <n v="36.700000000000003"/>
  </r>
  <r>
    <x v="27"/>
    <s v="P358"/>
    <x v="2"/>
    <n v="46"/>
    <n v="1"/>
    <n v="89"/>
    <n v="4"/>
    <n v="64.45"/>
  </r>
  <r>
    <x v="27"/>
    <s v="P423"/>
    <x v="1"/>
    <n v="16"/>
    <n v="3"/>
    <n v="73"/>
    <n v="0"/>
    <n v="25.65"/>
  </r>
  <r>
    <x v="27"/>
    <s v="P460"/>
    <x v="1"/>
    <n v="41"/>
    <n v="9"/>
    <n v="117"/>
    <n v="5"/>
    <n v="79.849999999999994"/>
  </r>
  <r>
    <x v="27"/>
    <s v="P490"/>
    <x v="3"/>
    <n v="10"/>
    <n v="2"/>
    <n v="67"/>
    <n v="3"/>
    <n v="26.35"/>
  </r>
  <r>
    <x v="28"/>
    <s v="P002"/>
    <x v="4"/>
    <n v="21"/>
    <n v="0"/>
    <n v="91"/>
    <n v="1"/>
    <n v="28.55"/>
  </r>
  <r>
    <x v="28"/>
    <s v="P070"/>
    <x v="4"/>
    <n v="43"/>
    <n v="9"/>
    <n v="34"/>
    <n v="0"/>
    <n v="62.7"/>
  </r>
  <r>
    <x v="28"/>
    <s v="P095"/>
    <x v="0"/>
    <n v="33"/>
    <n v="7"/>
    <n v="4"/>
    <n v="2"/>
    <n v="53.2"/>
  </r>
  <r>
    <x v="28"/>
    <s v="P164"/>
    <x v="0"/>
    <n v="26"/>
    <n v="5"/>
    <n v="43"/>
    <n v="1"/>
    <n v="41.15"/>
  </r>
  <r>
    <x v="28"/>
    <s v="P248"/>
    <x v="4"/>
    <n v="45"/>
    <n v="10"/>
    <n v="81"/>
    <n v="4"/>
    <n v="81.05"/>
  </r>
  <r>
    <x v="28"/>
    <s v="P310"/>
    <x v="3"/>
    <n v="31"/>
    <n v="10"/>
    <n v="47"/>
    <n v="5"/>
    <n v="68.349999999999994"/>
  </r>
  <r>
    <x v="28"/>
    <s v="P360"/>
    <x v="0"/>
    <n v="2"/>
    <n v="7"/>
    <n v="93"/>
    <n v="2"/>
    <n v="26.65"/>
  </r>
  <r>
    <x v="28"/>
    <s v="P367"/>
    <x v="0"/>
    <n v="34"/>
    <n v="3"/>
    <n v="12"/>
    <n v="0"/>
    <n v="40.6"/>
  </r>
  <r>
    <x v="28"/>
    <s v="P403"/>
    <x v="3"/>
    <n v="22"/>
    <n v="10"/>
    <n v="41"/>
    <n v="2"/>
    <n v="50.05"/>
  </r>
  <r>
    <x v="28"/>
    <s v="P481"/>
    <x v="2"/>
    <n v="0"/>
    <n v="1"/>
    <n v="96"/>
    <n v="4"/>
    <n v="18.8"/>
  </r>
  <r>
    <x v="28"/>
    <s v="P488"/>
    <x v="2"/>
    <n v="10"/>
    <n v="2"/>
    <n v="40"/>
    <n v="1"/>
    <n v="19"/>
  </r>
  <r>
    <x v="29"/>
    <s v="P021"/>
    <x v="4"/>
    <n v="30"/>
    <n v="0"/>
    <n v="38"/>
    <n v="3"/>
    <n v="40.9"/>
  </r>
  <r>
    <x v="29"/>
    <s v="P157"/>
    <x v="3"/>
    <n v="38"/>
    <n v="8"/>
    <n v="38"/>
    <n v="1"/>
    <n v="58.9"/>
  </r>
  <r>
    <x v="29"/>
    <s v="P180"/>
    <x v="1"/>
    <n v="14"/>
    <n v="5"/>
    <n v="28"/>
    <n v="2"/>
    <n v="31.4"/>
  </r>
  <r>
    <x v="29"/>
    <s v="P272"/>
    <x v="1"/>
    <n v="26"/>
    <n v="1"/>
    <n v="48"/>
    <n v="2"/>
    <n v="36.4"/>
  </r>
  <r>
    <x v="29"/>
    <s v="P336"/>
    <x v="3"/>
    <n v="28"/>
    <n v="10"/>
    <n v="33"/>
    <n v="1"/>
    <n v="52.65"/>
  </r>
  <r>
    <x v="29"/>
    <s v="P345"/>
    <x v="2"/>
    <n v="32"/>
    <n v="2"/>
    <n v="110"/>
    <n v="1"/>
    <n v="44.5"/>
  </r>
  <r>
    <x v="29"/>
    <s v="P359"/>
    <x v="4"/>
    <n v="36"/>
    <n v="10"/>
    <n v="88"/>
    <n v="3"/>
    <n v="69.400000000000006"/>
  </r>
  <r>
    <x v="29"/>
    <s v="P448"/>
    <x v="5"/>
    <n v="20"/>
    <n v="7"/>
    <n v="77"/>
    <n v="3"/>
    <n v="46.85"/>
  </r>
  <r>
    <x v="29"/>
    <s v="P456"/>
    <x v="2"/>
    <n v="24"/>
    <n v="3"/>
    <n v="84"/>
    <n v="4"/>
    <n v="46.2"/>
  </r>
  <r>
    <x v="29"/>
    <s v="P494"/>
    <x v="2"/>
    <n v="39"/>
    <n v="6"/>
    <n v="1"/>
    <n v="5"/>
    <n v="66.05"/>
  </r>
  <r>
    <x v="30"/>
    <s v="P078"/>
    <x v="0"/>
    <n v="8"/>
    <n v="10"/>
    <n v="44"/>
    <n v="3"/>
    <n v="39.200000000000003"/>
  </r>
  <r>
    <x v="30"/>
    <s v="P271"/>
    <x v="2"/>
    <n v="33"/>
    <n v="3"/>
    <n v="32"/>
    <n v="3"/>
    <n v="49.6"/>
  </r>
  <r>
    <x v="30"/>
    <s v="P370"/>
    <x v="4"/>
    <n v="13"/>
    <n v="4"/>
    <n v="62"/>
    <n v="1"/>
    <n v="27.1"/>
  </r>
  <r>
    <x v="30"/>
    <s v="P381"/>
    <x v="2"/>
    <n v="17"/>
    <n v="5"/>
    <n v="6"/>
    <n v="5"/>
    <n v="42.3"/>
  </r>
  <r>
    <x v="31"/>
    <s v="P152"/>
    <x v="1"/>
    <n v="14"/>
    <n v="6"/>
    <n v="97"/>
    <n v="3"/>
    <n v="39.85"/>
  </r>
  <r>
    <x v="31"/>
    <s v="P155"/>
    <x v="3"/>
    <n v="32"/>
    <n v="10"/>
    <n v="28"/>
    <n v="2"/>
    <n v="59.4"/>
  </r>
  <r>
    <x v="31"/>
    <s v="P167"/>
    <x v="4"/>
    <n v="21"/>
    <n v="9"/>
    <n v="22"/>
    <n v="5"/>
    <n v="55.1"/>
  </r>
  <r>
    <x v="31"/>
    <s v="P202"/>
    <x v="3"/>
    <n v="9"/>
    <n v="4"/>
    <n v="112"/>
    <n v="5"/>
    <n v="37.6"/>
  </r>
  <r>
    <x v="31"/>
    <s v="P203"/>
    <x v="5"/>
    <n v="39"/>
    <n v="1"/>
    <n v="75"/>
    <n v="5"/>
    <n v="59.75"/>
  </r>
  <r>
    <x v="31"/>
    <s v="P222"/>
    <x v="0"/>
    <n v="11"/>
    <n v="5"/>
    <n v="65"/>
    <n v="1"/>
    <n v="27.25"/>
  </r>
  <r>
    <x v="31"/>
    <s v="P229"/>
    <x v="0"/>
    <n v="7"/>
    <n v="4"/>
    <n v="40"/>
    <n v="4"/>
    <n v="29"/>
  </r>
  <r>
    <x v="31"/>
    <s v="P231"/>
    <x v="4"/>
    <n v="48"/>
    <n v="0"/>
    <n v="47"/>
    <n v="0"/>
    <n v="50.35"/>
  </r>
  <r>
    <x v="31"/>
    <s v="P257"/>
    <x v="4"/>
    <n v="8"/>
    <n v="5"/>
    <n v="53"/>
    <n v="0"/>
    <n v="20.65"/>
  </r>
  <r>
    <x v="31"/>
    <s v="P286"/>
    <x v="1"/>
    <n v="21"/>
    <n v="9"/>
    <n v="45"/>
    <n v="0"/>
    <n v="41.25"/>
  </r>
  <r>
    <x v="31"/>
    <s v="P374"/>
    <x v="0"/>
    <n v="15"/>
    <n v="3"/>
    <n v="60"/>
    <n v="4"/>
    <n v="36"/>
  </r>
  <r>
    <x v="31"/>
    <s v="P387"/>
    <x v="1"/>
    <n v="20"/>
    <n v="1"/>
    <n v="105"/>
    <n v="4"/>
    <n v="39.25"/>
  </r>
  <r>
    <x v="31"/>
    <s v="P426"/>
    <x v="0"/>
    <n v="16"/>
    <n v="6"/>
    <n v="113"/>
    <n v="5"/>
    <n v="48.65"/>
  </r>
  <r>
    <x v="31"/>
    <s v="P447"/>
    <x v="2"/>
    <n v="17"/>
    <n v="1"/>
    <n v="72"/>
    <n v="0"/>
    <n v="22.6"/>
  </r>
  <r>
    <x v="31"/>
    <s v="P471"/>
    <x v="0"/>
    <n v="6"/>
    <n v="2"/>
    <n v="89"/>
    <n v="3"/>
    <n v="23.45"/>
  </r>
  <r>
    <x v="32"/>
    <s v="P025"/>
    <x v="1"/>
    <n v="27"/>
    <n v="7"/>
    <n v="57"/>
    <n v="4"/>
    <n v="55.85"/>
  </r>
  <r>
    <x v="32"/>
    <s v="P112"/>
    <x v="5"/>
    <n v="4"/>
    <n v="1"/>
    <n v="36"/>
    <n v="5"/>
    <n v="22.8"/>
  </r>
  <r>
    <x v="32"/>
    <s v="P123"/>
    <x v="3"/>
    <n v="7"/>
    <n v="7"/>
    <n v="60"/>
    <n v="5"/>
    <n v="39"/>
  </r>
  <r>
    <x v="32"/>
    <s v="P185"/>
    <x v="5"/>
    <n v="46"/>
    <n v="3"/>
    <n v="85"/>
    <n v="0"/>
    <n v="56.25"/>
  </r>
  <r>
    <x v="32"/>
    <s v="P197"/>
    <x v="4"/>
    <n v="42"/>
    <n v="5"/>
    <n v="16"/>
    <n v="5"/>
    <n v="67.8"/>
  </r>
  <r>
    <x v="32"/>
    <s v="P223"/>
    <x v="5"/>
    <n v="43"/>
    <n v="7"/>
    <n v="113"/>
    <n v="1"/>
    <n v="65.650000000000006"/>
  </r>
  <r>
    <x v="32"/>
    <s v="P244"/>
    <x v="4"/>
    <n v="45"/>
    <n v="7"/>
    <n v="101"/>
    <n v="3"/>
    <n v="73.05"/>
  </r>
  <r>
    <x v="32"/>
    <s v="P260"/>
    <x v="5"/>
    <n v="25"/>
    <n v="10"/>
    <n v="84"/>
    <n v="0"/>
    <n v="49.2"/>
  </r>
  <r>
    <x v="32"/>
    <s v="P296"/>
    <x v="4"/>
    <n v="48"/>
    <n v="10"/>
    <n v="116"/>
    <n v="1"/>
    <n v="76.8"/>
  </r>
  <r>
    <x v="32"/>
    <s v="P319"/>
    <x v="5"/>
    <n v="18"/>
    <n v="9"/>
    <n v="22"/>
    <n v="2"/>
    <n v="43.1"/>
  </r>
  <r>
    <x v="32"/>
    <s v="P321"/>
    <x v="0"/>
    <n v="0"/>
    <n v="9"/>
    <n v="118"/>
    <n v="3"/>
    <n v="32.9"/>
  </r>
  <r>
    <x v="32"/>
    <s v="P330"/>
    <x v="1"/>
    <n v="29"/>
    <n v="10"/>
    <n v="14"/>
    <n v="1"/>
    <n v="52.7"/>
  </r>
  <r>
    <x v="32"/>
    <s v="P346"/>
    <x v="1"/>
    <n v="22"/>
    <n v="8"/>
    <n v="27"/>
    <n v="0"/>
    <n v="39.35"/>
  </r>
  <r>
    <x v="32"/>
    <s v="P349"/>
    <x v="4"/>
    <n v="49"/>
    <n v="10"/>
    <n v="15"/>
    <n v="5"/>
    <n v="84.75"/>
  </r>
  <r>
    <x v="32"/>
    <s v="P372"/>
    <x v="0"/>
    <n v="45"/>
    <n v="9"/>
    <n v="112"/>
    <n v="4"/>
    <n v="80.599999999999994"/>
  </r>
  <r>
    <x v="32"/>
    <s v="P376"/>
    <x v="4"/>
    <n v="36"/>
    <n v="6"/>
    <n v="55"/>
    <n v="5"/>
    <n v="65.75"/>
  </r>
  <r>
    <x v="32"/>
    <s v="P398"/>
    <x v="2"/>
    <n v="19"/>
    <n v="8"/>
    <n v="8"/>
    <n v="5"/>
    <n v="50.4"/>
  </r>
  <r>
    <x v="32"/>
    <s v="P438"/>
    <x v="3"/>
    <n v="3"/>
    <n v="10"/>
    <n v="47"/>
    <n v="1"/>
    <n v="28.35"/>
  </r>
  <r>
    <x v="33"/>
    <s v="P074"/>
    <x v="0"/>
    <n v="1"/>
    <n v="8"/>
    <n v="39"/>
    <n v="2"/>
    <n v="24.95"/>
  </r>
  <r>
    <x v="33"/>
    <s v="P122"/>
    <x v="1"/>
    <n v="39"/>
    <n v="8"/>
    <n v="107"/>
    <n v="3"/>
    <n v="69.349999999999994"/>
  </r>
  <r>
    <x v="33"/>
    <s v="P238"/>
    <x v="4"/>
    <n v="39"/>
    <n v="7"/>
    <n v="74"/>
    <n v="4"/>
    <n v="68.7"/>
  </r>
  <r>
    <x v="33"/>
    <s v="P343"/>
    <x v="3"/>
    <n v="45"/>
    <n v="3"/>
    <n v="26"/>
    <n v="1"/>
    <n v="55.3"/>
  </r>
  <r>
    <x v="33"/>
    <s v="P424"/>
    <x v="0"/>
    <n v="49"/>
    <n v="9"/>
    <n v="96"/>
    <n v="1"/>
    <n v="74.8"/>
  </r>
  <r>
    <x v="33"/>
    <s v="P470"/>
    <x v="4"/>
    <n v="44"/>
    <n v="9"/>
    <n v="67"/>
    <n v="5"/>
    <n v="80.349999999999994"/>
  </r>
  <r>
    <x v="34"/>
    <s v="P059"/>
    <x v="5"/>
    <n v="35"/>
    <n v="10"/>
    <n v="102"/>
    <n v="4"/>
    <n v="72.099999999999994"/>
  </r>
  <r>
    <x v="34"/>
    <s v="P110"/>
    <x v="0"/>
    <n v="20"/>
    <n v="2"/>
    <n v="100"/>
    <n v="2"/>
    <n v="35"/>
  </r>
  <r>
    <x v="34"/>
    <s v="P111"/>
    <x v="4"/>
    <n v="36"/>
    <n v="9"/>
    <n v="75"/>
    <n v="1"/>
    <n v="60.75"/>
  </r>
  <r>
    <x v="34"/>
    <s v="P128"/>
    <x v="3"/>
    <n v="50"/>
    <n v="3"/>
    <n v="72"/>
    <n v="4"/>
    <n v="71.599999999999994"/>
  </r>
  <r>
    <x v="34"/>
    <s v="P133"/>
    <x v="3"/>
    <n v="32"/>
    <n v="7"/>
    <n v="0"/>
    <n v="5"/>
    <n v="61"/>
  </r>
  <r>
    <x v="34"/>
    <s v="P135"/>
    <x v="3"/>
    <n v="16"/>
    <n v="3"/>
    <n v="34"/>
    <n v="4"/>
    <n v="35.700000000000003"/>
  </r>
  <r>
    <x v="34"/>
    <s v="P274"/>
    <x v="3"/>
    <n v="42"/>
    <n v="1"/>
    <n v="112"/>
    <n v="2"/>
    <n v="55.6"/>
  </r>
  <r>
    <x v="34"/>
    <s v="P289"/>
    <x v="0"/>
    <n v="49"/>
    <n v="4"/>
    <n v="84"/>
    <n v="4"/>
    <n v="73.2"/>
  </r>
  <r>
    <x v="34"/>
    <s v="P305"/>
    <x v="3"/>
    <n v="12"/>
    <n v="7"/>
    <n v="78"/>
    <n v="2"/>
    <n v="35.9"/>
  </r>
  <r>
    <x v="34"/>
    <s v="P308"/>
    <x v="1"/>
    <n v="50"/>
    <n v="1"/>
    <n v="14"/>
    <n v="4"/>
    <n v="64.7"/>
  </r>
  <r>
    <x v="34"/>
    <s v="P315"/>
    <x v="1"/>
    <n v="28"/>
    <n v="0"/>
    <n v="107"/>
    <n v="0"/>
    <n v="33.35"/>
  </r>
  <r>
    <x v="34"/>
    <s v="P354"/>
    <x v="2"/>
    <n v="2"/>
    <n v="2"/>
    <n v="1"/>
    <n v="5"/>
    <n v="21.05"/>
  </r>
  <r>
    <x v="34"/>
    <s v="P363"/>
    <x v="4"/>
    <n v="27"/>
    <n v="4"/>
    <n v="94"/>
    <n v="4"/>
    <n v="51.7"/>
  </r>
  <r>
    <x v="34"/>
    <s v="P371"/>
    <x v="2"/>
    <n v="31"/>
    <n v="7"/>
    <n v="55"/>
    <n v="4"/>
    <n v="59.75"/>
  </r>
  <r>
    <x v="34"/>
    <s v="P406"/>
    <x v="4"/>
    <n v="4"/>
    <n v="7"/>
    <n v="79"/>
    <n v="4"/>
    <n v="33.950000000000003"/>
  </r>
  <r>
    <x v="34"/>
    <s v="P450"/>
    <x v="1"/>
    <n v="35"/>
    <n v="1"/>
    <n v="56"/>
    <n v="2"/>
    <n v="45.8"/>
  </r>
  <r>
    <x v="35"/>
    <s v="P013"/>
    <x v="4"/>
    <n v="8"/>
    <n v="1"/>
    <n v="116"/>
    <n v="1"/>
    <n v="18.8"/>
  </r>
  <r>
    <x v="35"/>
    <s v="P062"/>
    <x v="0"/>
    <n v="2"/>
    <n v="9"/>
    <n v="1"/>
    <n v="0"/>
    <n v="20.05"/>
  </r>
  <r>
    <x v="35"/>
    <s v="P076"/>
    <x v="2"/>
    <n v="0"/>
    <n v="7"/>
    <n v="55"/>
    <n v="5"/>
    <n v="31.75"/>
  </r>
  <r>
    <x v="35"/>
    <s v="P165"/>
    <x v="0"/>
    <n v="32"/>
    <n v="4"/>
    <n v="37"/>
    <n v="0"/>
    <n v="41.85"/>
  </r>
  <r>
    <x v="35"/>
    <s v="P251"/>
    <x v="0"/>
    <n v="0"/>
    <n v="10"/>
    <n v="22"/>
    <n v="5"/>
    <n v="36.1"/>
  </r>
  <r>
    <x v="35"/>
    <s v="P301"/>
    <x v="1"/>
    <n v="48"/>
    <n v="5"/>
    <n v="4"/>
    <n v="2"/>
    <n v="64.2"/>
  </r>
  <r>
    <x v="35"/>
    <s v="P318"/>
    <x v="4"/>
    <n v="39"/>
    <n v="10"/>
    <n v="20"/>
    <n v="1"/>
    <n v="63"/>
  </r>
  <r>
    <x v="35"/>
    <s v="P412"/>
    <x v="0"/>
    <n v="43"/>
    <n v="3"/>
    <n v="49"/>
    <n v="1"/>
    <n v="54.45"/>
  </r>
  <r>
    <x v="36"/>
    <s v="P039"/>
    <x v="0"/>
    <n v="50"/>
    <n v="10"/>
    <n v="111"/>
    <n v="3"/>
    <n v="84.55"/>
  </r>
  <r>
    <x v="36"/>
    <s v="P127"/>
    <x v="3"/>
    <n v="31"/>
    <n v="6"/>
    <n v="1"/>
    <n v="5"/>
    <n v="58.05"/>
  </r>
  <r>
    <x v="36"/>
    <s v="P136"/>
    <x v="1"/>
    <n v="32"/>
    <n v="1"/>
    <n v="69"/>
    <n v="4"/>
    <n v="49.45"/>
  </r>
  <r>
    <x v="36"/>
    <s v="P158"/>
    <x v="5"/>
    <n v="26"/>
    <n v="6"/>
    <n v="94"/>
    <n v="3"/>
    <n v="51.7"/>
  </r>
  <r>
    <x v="36"/>
    <s v="P196"/>
    <x v="0"/>
    <n v="25"/>
    <n v="2"/>
    <n v="81"/>
    <n v="3"/>
    <n v="42.05"/>
  </r>
  <r>
    <x v="36"/>
    <s v="P213"/>
    <x v="4"/>
    <n v="25"/>
    <n v="9"/>
    <n v="79"/>
    <n v="5"/>
    <n v="61.95"/>
  </r>
  <r>
    <x v="36"/>
    <s v="P221"/>
    <x v="0"/>
    <n v="42"/>
    <n v="7"/>
    <n v="91"/>
    <n v="4"/>
    <n v="72.55"/>
  </r>
  <r>
    <x v="36"/>
    <s v="P285"/>
    <x v="1"/>
    <n v="42"/>
    <n v="6"/>
    <n v="65"/>
    <n v="4"/>
    <n v="69.25"/>
  </r>
  <r>
    <x v="36"/>
    <s v="P365"/>
    <x v="2"/>
    <n v="7"/>
    <n v="10"/>
    <n v="73"/>
    <n v="1"/>
    <n v="33.65"/>
  </r>
  <r>
    <x v="36"/>
    <s v="P437"/>
    <x v="1"/>
    <n v="45"/>
    <n v="7"/>
    <n v="21"/>
    <n v="1"/>
    <n v="63.05"/>
  </r>
  <r>
    <x v="36"/>
    <s v="P462"/>
    <x v="3"/>
    <n v="20"/>
    <n v="8"/>
    <n v="40"/>
    <n v="1"/>
    <n v="41"/>
  </r>
  <r>
    <x v="36"/>
    <s v="P486"/>
    <x v="4"/>
    <n v="28"/>
    <n v="8"/>
    <n v="96"/>
    <n v="1"/>
    <n v="51.8"/>
  </r>
  <r>
    <x v="37"/>
    <s v="P022"/>
    <x v="2"/>
    <n v="5"/>
    <n v="0"/>
    <n v="41"/>
    <n v="1"/>
    <n v="10.050000000000001"/>
  </r>
  <r>
    <x v="37"/>
    <s v="P235"/>
    <x v="4"/>
    <n v="50"/>
    <n v="9"/>
    <n v="76"/>
    <n v="2"/>
    <n v="77.8"/>
  </r>
  <r>
    <x v="37"/>
    <s v="P302"/>
    <x v="3"/>
    <n v="6"/>
    <n v="0"/>
    <n v="97"/>
    <n v="2"/>
    <n v="16.850000000000001"/>
  </r>
  <r>
    <x v="37"/>
    <s v="P337"/>
    <x v="5"/>
    <n v="38"/>
    <n v="2"/>
    <n v="77"/>
    <n v="5"/>
    <n v="60.85"/>
  </r>
  <r>
    <x v="37"/>
    <s v="P338"/>
    <x v="5"/>
    <n v="2"/>
    <n v="0"/>
    <n v="67"/>
    <n v="4"/>
    <n v="17.350000000000001"/>
  </r>
  <r>
    <x v="38"/>
    <s v="P001"/>
    <x v="3"/>
    <n v="32"/>
    <n v="7"/>
    <n v="3"/>
    <n v="5"/>
    <n v="61.15"/>
  </r>
  <r>
    <x v="38"/>
    <s v="P007"/>
    <x v="2"/>
    <n v="3"/>
    <n v="2"/>
    <n v="49"/>
    <n v="1"/>
    <n v="12.45"/>
  </r>
  <r>
    <x v="38"/>
    <s v="P043"/>
    <x v="4"/>
    <n v="5"/>
    <n v="8"/>
    <n v="43"/>
    <n v="3"/>
    <n v="32.15"/>
  </r>
  <r>
    <x v="38"/>
    <s v="P115"/>
    <x v="2"/>
    <n v="25"/>
    <n v="1"/>
    <n v="119"/>
    <n v="1"/>
    <n v="35.950000000000003"/>
  </r>
  <r>
    <x v="38"/>
    <s v="P144"/>
    <x v="0"/>
    <n v="50"/>
    <n v="7"/>
    <n v="77"/>
    <n v="3"/>
    <n v="76.849999999999994"/>
  </r>
  <r>
    <x v="38"/>
    <s v="P153"/>
    <x v="2"/>
    <n v="46"/>
    <n v="7"/>
    <n v="88"/>
    <n v="5"/>
    <n v="79.400000000000006"/>
  </r>
  <r>
    <x v="38"/>
    <s v="P160"/>
    <x v="3"/>
    <n v="28"/>
    <n v="3"/>
    <n v="110"/>
    <n v="2"/>
    <n v="45.5"/>
  </r>
  <r>
    <x v="38"/>
    <s v="P184"/>
    <x v="4"/>
    <n v="28"/>
    <n v="2"/>
    <n v="110"/>
    <n v="3"/>
    <n v="46.5"/>
  </r>
  <r>
    <x v="38"/>
    <s v="P191"/>
    <x v="0"/>
    <n v="30"/>
    <n v="1"/>
    <n v="89"/>
    <n v="3"/>
    <n v="45.45"/>
  </r>
  <r>
    <x v="38"/>
    <s v="P209"/>
    <x v="3"/>
    <n v="25"/>
    <n v="8"/>
    <n v="32"/>
    <n v="1"/>
    <n v="45.6"/>
  </r>
  <r>
    <x v="38"/>
    <s v="P262"/>
    <x v="3"/>
    <n v="34"/>
    <n v="8"/>
    <n v="64"/>
    <n v="1"/>
    <n v="56.2"/>
  </r>
  <r>
    <x v="38"/>
    <s v="P402"/>
    <x v="1"/>
    <n v="2"/>
    <n v="7"/>
    <n v="120"/>
    <n v="0"/>
    <n v="22"/>
  </r>
  <r>
    <x v="38"/>
    <s v="P443"/>
    <x v="4"/>
    <n v="22"/>
    <n v="5"/>
    <n v="70"/>
    <n v="5"/>
    <n v="50.5"/>
  </r>
  <r>
    <x v="38"/>
    <s v="P478"/>
    <x v="1"/>
    <n v="45"/>
    <n v="2"/>
    <n v="35"/>
    <n v="4"/>
    <n v="62.75"/>
  </r>
  <r>
    <x v="39"/>
    <s v="P014"/>
    <x v="2"/>
    <n v="2"/>
    <n v="8"/>
    <n v="97"/>
    <n v="5"/>
    <n v="37.85"/>
  </r>
  <r>
    <x v="39"/>
    <s v="P064"/>
    <x v="2"/>
    <n v="5"/>
    <n v="6"/>
    <n v="69"/>
    <n v="4"/>
    <n v="32.450000000000003"/>
  </r>
  <r>
    <x v="39"/>
    <s v="P084"/>
    <x v="0"/>
    <n v="37"/>
    <n v="1"/>
    <n v="66"/>
    <n v="5"/>
    <n v="57.3"/>
  </r>
  <r>
    <x v="39"/>
    <s v="P130"/>
    <x v="2"/>
    <n v="32"/>
    <n v="0"/>
    <n v="19"/>
    <n v="2"/>
    <n v="38.950000000000003"/>
  </r>
  <r>
    <x v="39"/>
    <s v="P261"/>
    <x v="1"/>
    <n v="40"/>
    <n v="9"/>
    <n v="14"/>
    <n v="0"/>
    <n v="58.7"/>
  </r>
  <r>
    <x v="39"/>
    <s v="P264"/>
    <x v="2"/>
    <n v="25"/>
    <n v="6"/>
    <n v="70"/>
    <n v="4"/>
    <n v="52.5"/>
  </r>
  <r>
    <x v="39"/>
    <s v="P303"/>
    <x v="3"/>
    <n v="0"/>
    <n v="5"/>
    <n v="47"/>
    <n v="3"/>
    <n v="21.35"/>
  </r>
  <r>
    <x v="39"/>
    <s v="P383"/>
    <x v="5"/>
    <n v="9"/>
    <n v="5"/>
    <n v="0"/>
    <n v="0"/>
    <n v="19"/>
  </r>
  <r>
    <x v="39"/>
    <s v="P397"/>
    <x v="3"/>
    <n v="4"/>
    <n v="10"/>
    <n v="25"/>
    <n v="4"/>
    <n v="37.25"/>
  </r>
  <r>
    <x v="39"/>
    <s v="P451"/>
    <x v="1"/>
    <n v="40"/>
    <n v="3"/>
    <n v="24"/>
    <n v="5"/>
    <n v="62.2"/>
  </r>
  <r>
    <x v="39"/>
    <s v="P474"/>
    <x v="4"/>
    <n v="16"/>
    <n v="7"/>
    <n v="31"/>
    <n v="4"/>
    <n v="43.55"/>
  </r>
  <r>
    <x v="40"/>
    <s v="P094"/>
    <x v="0"/>
    <n v="8"/>
    <n v="10"/>
    <n v="0"/>
    <n v="4"/>
    <n v="40"/>
  </r>
  <r>
    <x v="40"/>
    <s v="P116"/>
    <x v="3"/>
    <n v="3"/>
    <n v="2"/>
    <n v="43"/>
    <n v="0"/>
    <n v="9.15"/>
  </r>
  <r>
    <x v="40"/>
    <s v="P189"/>
    <x v="3"/>
    <n v="1"/>
    <n v="9"/>
    <n v="54"/>
    <n v="4"/>
    <n v="33.700000000000003"/>
  </r>
  <r>
    <x v="40"/>
    <s v="P205"/>
    <x v="4"/>
    <n v="5"/>
    <n v="8"/>
    <n v="71"/>
    <n v="4"/>
    <n v="36.549999999999997"/>
  </r>
  <r>
    <x v="40"/>
    <s v="P259"/>
    <x v="3"/>
    <n v="9"/>
    <n v="4"/>
    <n v="88"/>
    <n v="0"/>
    <n v="21.4"/>
  </r>
  <r>
    <x v="40"/>
    <s v="P288"/>
    <x v="3"/>
    <n v="27"/>
    <n v="1"/>
    <n v="2"/>
    <n v="0"/>
    <n v="29.1"/>
  </r>
  <r>
    <x v="40"/>
    <s v="P317"/>
    <x v="3"/>
    <n v="15"/>
    <n v="2"/>
    <n v="108"/>
    <n v="1"/>
    <n v="27.4"/>
  </r>
  <r>
    <x v="40"/>
    <s v="P364"/>
    <x v="5"/>
    <n v="46"/>
    <n v="7"/>
    <n v="107"/>
    <n v="2"/>
    <n v="71.349999999999994"/>
  </r>
  <r>
    <x v="41"/>
    <s v="P032"/>
    <x v="0"/>
    <n v="37"/>
    <n v="4"/>
    <n v="20"/>
    <n v="3"/>
    <n v="55"/>
  </r>
  <r>
    <x v="41"/>
    <s v="P068"/>
    <x v="1"/>
    <n v="22"/>
    <n v="4"/>
    <n v="27"/>
    <n v="1"/>
    <n v="34.35"/>
  </r>
  <r>
    <x v="41"/>
    <s v="P114"/>
    <x v="1"/>
    <n v="13"/>
    <n v="6"/>
    <n v="112"/>
    <n v="1"/>
    <n v="33.6"/>
  </r>
  <r>
    <x v="41"/>
    <s v="P150"/>
    <x v="0"/>
    <n v="7"/>
    <n v="10"/>
    <n v="87"/>
    <n v="1"/>
    <n v="34.35"/>
  </r>
  <r>
    <x v="41"/>
    <s v="P172"/>
    <x v="3"/>
    <n v="32"/>
    <n v="8"/>
    <n v="105"/>
    <n v="2"/>
    <n v="59.25"/>
  </r>
  <r>
    <x v="41"/>
    <s v="P198"/>
    <x v="0"/>
    <n v="26"/>
    <n v="7"/>
    <n v="25"/>
    <n v="4"/>
    <n v="53.25"/>
  </r>
  <r>
    <x v="41"/>
    <s v="P273"/>
    <x v="3"/>
    <n v="16"/>
    <n v="6"/>
    <n v="95"/>
    <n v="1"/>
    <n v="35.75"/>
  </r>
  <r>
    <x v="41"/>
    <s v="P380"/>
    <x v="3"/>
    <n v="47"/>
    <n v="8"/>
    <n v="117"/>
    <n v="5"/>
    <n v="83.85"/>
  </r>
  <r>
    <x v="41"/>
    <s v="P393"/>
    <x v="0"/>
    <n v="17"/>
    <n v="4"/>
    <n v="20"/>
    <n v="2"/>
    <n v="32"/>
  </r>
  <r>
    <x v="41"/>
    <s v="P404"/>
    <x v="3"/>
    <n v="11"/>
    <n v="5"/>
    <n v="71"/>
    <n v="5"/>
    <n v="39.549999999999997"/>
  </r>
  <r>
    <x v="41"/>
    <s v="P433"/>
    <x v="2"/>
    <n v="38"/>
    <n v="1"/>
    <n v="32"/>
    <n v="3"/>
    <n v="50.6"/>
  </r>
  <r>
    <x v="41"/>
    <s v="P455"/>
    <x v="3"/>
    <n v="36"/>
    <n v="3"/>
    <n v="6"/>
    <n v="3"/>
    <n v="51.3"/>
  </r>
  <r>
    <x v="42"/>
    <s v="P004"/>
    <x v="5"/>
    <n v="5"/>
    <n v="3"/>
    <n v="19"/>
    <n v="5"/>
    <n v="26.95"/>
  </r>
  <r>
    <x v="42"/>
    <s v="P163"/>
    <x v="4"/>
    <n v="36"/>
    <n v="3"/>
    <n v="22"/>
    <n v="1"/>
    <n v="46.1"/>
  </r>
  <r>
    <x v="42"/>
    <s v="P400"/>
    <x v="2"/>
    <n v="41"/>
    <n v="5"/>
    <n v="9"/>
    <n v="4"/>
    <n v="63.45"/>
  </r>
  <r>
    <x v="42"/>
    <s v="P436"/>
    <x v="0"/>
    <n v="42"/>
    <n v="0"/>
    <n v="80"/>
    <n v="1"/>
    <n v="49"/>
  </r>
  <r>
    <x v="43"/>
    <s v="P020"/>
    <x v="3"/>
    <n v="23"/>
    <n v="7"/>
    <n v="5"/>
    <n v="5"/>
    <n v="52.25"/>
  </r>
  <r>
    <x v="43"/>
    <s v="P028"/>
    <x v="2"/>
    <n v="14"/>
    <n v="6"/>
    <n v="2"/>
    <n v="1"/>
    <n v="29.1"/>
  </r>
  <r>
    <x v="43"/>
    <s v="P037"/>
    <x v="4"/>
    <n v="7"/>
    <n v="4"/>
    <n v="7"/>
    <n v="5"/>
    <n v="30.35"/>
  </r>
  <r>
    <x v="43"/>
    <s v="P056"/>
    <x v="2"/>
    <n v="37"/>
    <n v="8"/>
    <n v="110"/>
    <n v="5"/>
    <n v="73.5"/>
  </r>
  <r>
    <x v="43"/>
    <s v="P073"/>
    <x v="3"/>
    <n v="39"/>
    <n v="6"/>
    <n v="64"/>
    <n v="2"/>
    <n v="60.2"/>
  </r>
  <r>
    <x v="43"/>
    <s v="P104"/>
    <x v="4"/>
    <n v="10"/>
    <n v="8"/>
    <n v="83"/>
    <n v="0"/>
    <n v="30.15"/>
  </r>
  <r>
    <x v="43"/>
    <s v="P129"/>
    <x v="2"/>
    <n v="37"/>
    <n v="4"/>
    <n v="36"/>
    <n v="3"/>
    <n v="55.8"/>
  </r>
  <r>
    <x v="43"/>
    <s v="P177"/>
    <x v="2"/>
    <n v="35"/>
    <n v="5"/>
    <n v="0"/>
    <n v="3"/>
    <n v="54"/>
  </r>
  <r>
    <x v="43"/>
    <s v="P178"/>
    <x v="1"/>
    <n v="44"/>
    <n v="4"/>
    <n v="118"/>
    <n v="5"/>
    <n v="72.900000000000006"/>
  </r>
  <r>
    <x v="43"/>
    <s v="P199"/>
    <x v="0"/>
    <n v="4"/>
    <n v="8"/>
    <n v="7"/>
    <n v="2"/>
    <n v="26.35"/>
  </r>
  <r>
    <x v="43"/>
    <s v="P227"/>
    <x v="5"/>
    <n v="4"/>
    <n v="1"/>
    <n v="72"/>
    <n v="1"/>
    <n v="12.6"/>
  </r>
  <r>
    <x v="43"/>
    <s v="P357"/>
    <x v="1"/>
    <n v="7"/>
    <n v="7"/>
    <n v="3"/>
    <n v="3"/>
    <n v="30.15"/>
  </r>
  <r>
    <x v="43"/>
    <s v="P440"/>
    <x v="5"/>
    <n v="28"/>
    <n v="10"/>
    <n v="14"/>
    <n v="3"/>
    <n v="57.7"/>
  </r>
  <r>
    <x v="43"/>
    <s v="P441"/>
    <x v="5"/>
    <n v="44"/>
    <n v="5"/>
    <n v="34"/>
    <n v="0"/>
    <n v="55.7"/>
  </r>
  <r>
    <x v="44"/>
    <s v="P087"/>
    <x v="4"/>
    <n v="30"/>
    <n v="6"/>
    <n v="79"/>
    <n v="3"/>
    <n v="54.95"/>
  </r>
  <r>
    <x v="44"/>
    <s v="P093"/>
    <x v="5"/>
    <n v="10"/>
    <n v="4"/>
    <n v="104"/>
    <n v="1"/>
    <n v="26.2"/>
  </r>
  <r>
    <x v="44"/>
    <s v="P097"/>
    <x v="4"/>
    <n v="34"/>
    <n v="6"/>
    <n v="7"/>
    <n v="1"/>
    <n v="49.35"/>
  </r>
  <r>
    <x v="44"/>
    <s v="P161"/>
    <x v="0"/>
    <n v="37"/>
    <n v="10"/>
    <n v="42"/>
    <n v="4"/>
    <n v="71.099999999999994"/>
  </r>
  <r>
    <x v="44"/>
    <s v="P173"/>
    <x v="4"/>
    <n v="37"/>
    <n v="0"/>
    <n v="118"/>
    <n v="0"/>
    <n v="42.9"/>
  </r>
  <r>
    <x v="44"/>
    <s v="P339"/>
    <x v="1"/>
    <n v="31"/>
    <n v="7"/>
    <n v="111"/>
    <n v="4"/>
    <n v="62.55"/>
  </r>
  <r>
    <x v="44"/>
    <s v="P413"/>
    <x v="3"/>
    <n v="34"/>
    <n v="0"/>
    <n v="23"/>
    <n v="0"/>
    <n v="35.15"/>
  </r>
  <r>
    <x v="44"/>
    <s v="P446"/>
    <x v="3"/>
    <n v="5"/>
    <n v="8"/>
    <n v="9"/>
    <n v="4"/>
    <n v="33.450000000000003"/>
  </r>
  <r>
    <x v="44"/>
    <s v="P475"/>
    <x v="0"/>
    <n v="25"/>
    <n v="6"/>
    <n v="38"/>
    <n v="3"/>
    <n v="47.9"/>
  </r>
  <r>
    <x v="45"/>
    <s v="P312"/>
    <x v="0"/>
    <n v="28"/>
    <n v="3"/>
    <n v="69"/>
    <n v="5"/>
    <n v="52.45"/>
  </r>
  <r>
    <x v="45"/>
    <s v="P335"/>
    <x v="4"/>
    <n v="7"/>
    <n v="10"/>
    <n v="18"/>
    <n v="2"/>
    <n v="33.9"/>
  </r>
  <r>
    <x v="45"/>
    <s v="P361"/>
    <x v="5"/>
    <n v="50"/>
    <n v="8"/>
    <n v="74"/>
    <n v="5"/>
    <n v="84.7"/>
  </r>
  <r>
    <x v="45"/>
    <s v="P369"/>
    <x v="3"/>
    <n v="23"/>
    <n v="2"/>
    <n v="70"/>
    <n v="0"/>
    <n v="30.5"/>
  </r>
  <r>
    <x v="45"/>
    <s v="P384"/>
    <x v="1"/>
    <n v="6"/>
    <n v="5"/>
    <n v="43"/>
    <n v="5"/>
    <n v="33.15"/>
  </r>
  <r>
    <x v="45"/>
    <s v="P417"/>
    <x v="5"/>
    <n v="16"/>
    <n v="0"/>
    <n v="38"/>
    <n v="0"/>
    <n v="17.899999999999999"/>
  </r>
  <r>
    <x v="45"/>
    <s v="P495"/>
    <x v="1"/>
    <n v="34"/>
    <n v="0"/>
    <n v="59"/>
    <n v="2"/>
    <n v="42.95"/>
  </r>
  <r>
    <x v="46"/>
    <s v="P036"/>
    <x v="3"/>
    <n v="10"/>
    <n v="2"/>
    <n v="25"/>
    <n v="2"/>
    <n v="21.25"/>
  </r>
  <r>
    <x v="46"/>
    <s v="P054"/>
    <x v="2"/>
    <n v="25"/>
    <n v="5"/>
    <n v="117"/>
    <n v="4"/>
    <n v="52.85"/>
  </r>
  <r>
    <x v="46"/>
    <s v="P058"/>
    <x v="2"/>
    <n v="10"/>
    <n v="8"/>
    <n v="119"/>
    <n v="1"/>
    <n v="34.950000000000003"/>
  </r>
  <r>
    <x v="46"/>
    <s v="P089"/>
    <x v="3"/>
    <n v="4"/>
    <n v="7"/>
    <n v="92"/>
    <n v="3"/>
    <n v="31.6"/>
  </r>
  <r>
    <x v="46"/>
    <s v="P137"/>
    <x v="1"/>
    <n v="46"/>
    <n v="4"/>
    <n v="100"/>
    <n v="1"/>
    <n v="62"/>
  </r>
  <r>
    <x v="46"/>
    <s v="P348"/>
    <x v="5"/>
    <n v="31"/>
    <n v="2"/>
    <n v="7"/>
    <n v="2"/>
    <n v="41.35"/>
  </r>
  <r>
    <x v="46"/>
    <s v="P388"/>
    <x v="0"/>
    <n v="18"/>
    <n v="7"/>
    <n v="46"/>
    <n v="1"/>
    <n v="37.299999999999997"/>
  </r>
  <r>
    <x v="46"/>
    <s v="P449"/>
    <x v="1"/>
    <n v="41"/>
    <n v="7"/>
    <n v="76"/>
    <n v="2"/>
    <n v="64.8"/>
  </r>
  <r>
    <x v="46"/>
    <s v="P469"/>
    <x v="5"/>
    <n v="11"/>
    <n v="2"/>
    <n v="18"/>
    <n v="5"/>
    <n v="30.9"/>
  </r>
  <r>
    <x v="46"/>
    <s v="P492"/>
    <x v="4"/>
    <n v="48"/>
    <n v="5"/>
    <n v="48"/>
    <n v="2"/>
    <n v="66.400000000000006"/>
  </r>
  <r>
    <x v="47"/>
    <s v="P079"/>
    <x v="1"/>
    <n v="16"/>
    <n v="6"/>
    <n v="22"/>
    <n v="1"/>
    <n v="32.1"/>
  </r>
  <r>
    <x v="47"/>
    <s v="P124"/>
    <x v="4"/>
    <n v="38"/>
    <n v="8"/>
    <n v="19"/>
    <n v="0"/>
    <n v="54.95"/>
  </r>
  <r>
    <x v="47"/>
    <s v="P242"/>
    <x v="4"/>
    <n v="22"/>
    <n v="0"/>
    <n v="109"/>
    <n v="1"/>
    <n v="30.45"/>
  </r>
  <r>
    <x v="47"/>
    <s v="P278"/>
    <x v="2"/>
    <n v="24"/>
    <n v="0"/>
    <n v="89"/>
    <n v="3"/>
    <n v="37.450000000000003"/>
  </r>
  <r>
    <x v="47"/>
    <s v="P282"/>
    <x v="2"/>
    <n v="32"/>
    <n v="2"/>
    <n v="109"/>
    <n v="3"/>
    <n v="50.45"/>
  </r>
  <r>
    <x v="47"/>
    <s v="P291"/>
    <x v="0"/>
    <n v="48"/>
    <n v="3"/>
    <n v="71"/>
    <n v="2"/>
    <n v="63.55"/>
  </r>
  <r>
    <x v="47"/>
    <s v="P306"/>
    <x v="2"/>
    <n v="29"/>
    <n v="10"/>
    <n v="43"/>
    <n v="1"/>
    <n v="54.15"/>
  </r>
  <r>
    <x v="47"/>
    <s v="P324"/>
    <x v="2"/>
    <n v="46"/>
    <n v="3"/>
    <n v="116"/>
    <n v="5"/>
    <n v="72.8"/>
  </r>
  <r>
    <x v="47"/>
    <s v="P331"/>
    <x v="2"/>
    <n v="37"/>
    <n v="3"/>
    <n v="67"/>
    <n v="1"/>
    <n v="49.35"/>
  </r>
  <r>
    <x v="47"/>
    <s v="P351"/>
    <x v="5"/>
    <n v="28"/>
    <n v="9"/>
    <n v="35"/>
    <n v="1"/>
    <n v="50.75"/>
  </r>
  <r>
    <x v="47"/>
    <s v="P401"/>
    <x v="1"/>
    <n v="1"/>
    <n v="8"/>
    <n v="87"/>
    <n v="4"/>
    <n v="33.35"/>
  </r>
  <r>
    <x v="47"/>
    <s v="P472"/>
    <x v="0"/>
    <n v="9"/>
    <n v="6"/>
    <n v="101"/>
    <n v="3"/>
    <n v="35.049999999999997"/>
  </r>
  <r>
    <x v="48"/>
    <s v="P030"/>
    <x v="4"/>
    <n v="48"/>
    <n v="2"/>
    <n v="17"/>
    <n v="5"/>
    <n v="67.849999999999994"/>
  </r>
  <r>
    <x v="48"/>
    <s v="P154"/>
    <x v="2"/>
    <n v="28"/>
    <n v="7"/>
    <n v="49"/>
    <n v="4"/>
    <n v="56.45"/>
  </r>
  <r>
    <x v="48"/>
    <s v="P206"/>
    <x v="3"/>
    <n v="7"/>
    <n v="7"/>
    <n v="88"/>
    <n v="5"/>
    <n v="40.4"/>
  </r>
  <r>
    <x v="48"/>
    <s v="P207"/>
    <x v="3"/>
    <n v="22"/>
    <n v="2"/>
    <n v="45"/>
    <n v="4"/>
    <n v="40.25"/>
  </r>
  <r>
    <x v="48"/>
    <s v="P212"/>
    <x v="1"/>
    <n v="11"/>
    <n v="1"/>
    <n v="30"/>
    <n v="4"/>
    <n v="26.5"/>
  </r>
  <r>
    <x v="48"/>
    <s v="P214"/>
    <x v="3"/>
    <n v="12"/>
    <n v="8"/>
    <n v="13"/>
    <n v="5"/>
    <n v="43.65"/>
  </r>
  <r>
    <x v="48"/>
    <s v="P216"/>
    <x v="1"/>
    <n v="17"/>
    <n v="8"/>
    <n v="47"/>
    <n v="1"/>
    <n v="38.35"/>
  </r>
  <r>
    <x v="48"/>
    <s v="P279"/>
    <x v="0"/>
    <n v="6"/>
    <n v="7"/>
    <n v="10"/>
    <n v="4"/>
    <n v="32.5"/>
  </r>
  <r>
    <x v="48"/>
    <s v="P299"/>
    <x v="3"/>
    <n v="27"/>
    <n v="0"/>
    <n v="24"/>
    <n v="2"/>
    <n v="34.200000000000003"/>
  </r>
  <r>
    <x v="48"/>
    <s v="P355"/>
    <x v="5"/>
    <n v="23"/>
    <n v="0"/>
    <n v="48"/>
    <n v="3"/>
    <n v="34.4"/>
  </r>
  <r>
    <x v="48"/>
    <s v="P368"/>
    <x v="3"/>
    <n v="31"/>
    <n v="6"/>
    <n v="30"/>
    <n v="3"/>
    <n v="53.5"/>
  </r>
  <r>
    <x v="48"/>
    <s v="P432"/>
    <x v="0"/>
    <n v="24"/>
    <n v="1"/>
    <n v="97"/>
    <n v="0"/>
    <n v="30.85"/>
  </r>
  <r>
    <x v="48"/>
    <s v="P493"/>
    <x v="2"/>
    <n v="38"/>
    <n v="0"/>
    <n v="59"/>
    <n v="0"/>
    <n v="40.950000000000003"/>
  </r>
  <r>
    <x v="49"/>
    <s v="P048"/>
    <x v="2"/>
    <n v="32"/>
    <n v="7"/>
    <n v="36"/>
    <n v="4"/>
    <n v="59.8"/>
  </r>
  <r>
    <x v="49"/>
    <s v="P063"/>
    <x v="4"/>
    <n v="32"/>
    <n v="9"/>
    <n v="102"/>
    <n v="1"/>
    <n v="58.1"/>
  </r>
  <r>
    <x v="49"/>
    <s v="P269"/>
    <x v="2"/>
    <n v="17"/>
    <n v="6"/>
    <n v="92"/>
    <n v="3"/>
    <n v="42.6"/>
  </r>
  <r>
    <x v="49"/>
    <s v="P386"/>
    <x v="1"/>
    <n v="22"/>
    <n v="4"/>
    <n v="44"/>
    <n v="4"/>
    <n v="44.2"/>
  </r>
  <r>
    <x v="49"/>
    <s v="P407"/>
    <x v="2"/>
    <n v="36"/>
    <n v="8"/>
    <n v="48"/>
    <n v="5"/>
    <n v="69.400000000000006"/>
  </r>
  <r>
    <x v="49"/>
    <s v="P454"/>
    <x v="4"/>
    <n v="16"/>
    <n v="10"/>
    <n v="34"/>
    <n v="1"/>
    <n v="40.7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E5551-AA43-495C-A11E-905AF4322D41}"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H75" firstHeaderRow="1" firstDataRow="2" firstDataCol="1"/>
  <pivotFields count="8">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Col" showAll="0">
      <items count="7">
        <item x="5"/>
        <item x="2"/>
        <item x="3"/>
        <item x="0"/>
        <item x="1"/>
        <item x="4"/>
        <item t="default"/>
      </items>
    </pivotField>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7">
    <i>
      <x/>
    </i>
    <i>
      <x v="1"/>
    </i>
    <i>
      <x v="2"/>
    </i>
    <i>
      <x v="3"/>
    </i>
    <i>
      <x v="4"/>
    </i>
    <i>
      <x v="5"/>
    </i>
    <i t="grand">
      <x/>
    </i>
  </colItems>
  <dataFields count="1">
    <dataField name="User Category Engagement" fld="7" baseField="0" baseItem="0"/>
  </dataFields>
  <chartFormats count="2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5"/>
          </reference>
        </references>
      </pivotArea>
    </chartFormat>
    <chartFormat chart="1" format="2">
      <pivotArea type="data" outline="0" fieldPosition="0">
        <references count="2">
          <reference field="4294967294" count="1" selected="0">
            <x v="0"/>
          </reference>
          <reference field="2" count="1" selected="0">
            <x v="4"/>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 chart="6" format="14" series="1">
      <pivotArea type="data" outline="0" fieldPosition="0">
        <references count="2">
          <reference field="4294967294" count="1" selected="0">
            <x v="0"/>
          </reference>
          <reference field="2" count="1" selected="0">
            <x v="2"/>
          </reference>
        </references>
      </pivotArea>
    </chartFormat>
    <chartFormat chart="6" format="15" series="1">
      <pivotArea type="data" outline="0" fieldPosition="0">
        <references count="2">
          <reference field="4294967294" count="1" selected="0">
            <x v="0"/>
          </reference>
          <reference field="2" count="1" selected="0">
            <x v="3"/>
          </reference>
        </references>
      </pivotArea>
    </chartFormat>
    <chartFormat chart="6" format="16" series="1">
      <pivotArea type="data" outline="0" fieldPosition="0">
        <references count="2">
          <reference field="4294967294" count="1" selected="0">
            <x v="0"/>
          </reference>
          <reference field="2" count="1" selected="0">
            <x v="4"/>
          </reference>
        </references>
      </pivotArea>
    </chartFormat>
    <chartFormat chart="6"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E4148-39BE-46E4-B3D5-4DE6C52B5FC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9" firstHeaderRow="1" firstDataRow="1" firstDataCol="1"/>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7">
        <item x="5"/>
        <item x="2"/>
        <item x="3"/>
        <item x="0"/>
        <item x="1"/>
        <item x="4"/>
        <item t="default"/>
      </items>
    </pivotField>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Engagement_Score" fld="7" baseField="0" baseItem="0"/>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5"/>
          </reference>
        </references>
      </pivotArea>
    </chartFormat>
    <chartFormat chart="1" format="2">
      <pivotArea type="data" outline="0" fieldPosition="0">
        <references count="2">
          <reference field="4294967294" count="1" selected="0">
            <x v="0"/>
          </reference>
          <reference field="2" count="1" selected="0">
            <x v="4"/>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2" count="1" selected="0">
            <x v="0"/>
          </reference>
        </references>
      </pivotArea>
    </chartFormat>
    <chartFormat chart="5" format="16">
      <pivotArea type="data" outline="0" fieldPosition="0">
        <references count="2">
          <reference field="4294967294" count="1" selected="0">
            <x v="0"/>
          </reference>
          <reference field="2" count="1" selected="0">
            <x v="1"/>
          </reference>
        </references>
      </pivotArea>
    </chartFormat>
    <chartFormat chart="5" format="17">
      <pivotArea type="data" outline="0" fieldPosition="0">
        <references count="2">
          <reference field="4294967294" count="1" selected="0">
            <x v="0"/>
          </reference>
          <reference field="2" count="1" selected="0">
            <x v="2"/>
          </reference>
        </references>
      </pivotArea>
    </chartFormat>
    <chartFormat chart="5" format="18">
      <pivotArea type="data" outline="0" fieldPosition="0">
        <references count="2">
          <reference field="4294967294" count="1" selected="0">
            <x v="0"/>
          </reference>
          <reference field="2" count="1" selected="0">
            <x v="3"/>
          </reference>
        </references>
      </pivotArea>
    </chartFormat>
    <chartFormat chart="5" format="19">
      <pivotArea type="data" outline="0" fieldPosition="0">
        <references count="2">
          <reference field="4294967294" count="1" selected="0">
            <x v="0"/>
          </reference>
          <reference field="2" count="1" selected="0">
            <x v="4"/>
          </reference>
        </references>
      </pivotArea>
    </chartFormat>
    <chartFormat chart="5"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F9B149-7BA9-4EA5-A956-DAA5A26B8974}" name="User Interest Distribu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9" firstHeaderRow="1" firstDataRow="1" firstDataCol="1"/>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7">
        <item x="5"/>
        <item x="2"/>
        <item x="3"/>
        <item x="0"/>
        <item x="1"/>
        <item x="4"/>
        <item t="default"/>
      </items>
    </pivotField>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Engagement_Scor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BB532FE2-8027-4FC5-B872-0E55608C5619}" sourceName="User_ID">
  <pivotTables>
    <pivotTable tabId="5" name="User Interest Distribution"/>
    <pivotTable tabId="5" name="PivotTable4"/>
    <pivotTable tabId="5" name="PivotTable5"/>
  </pivotTables>
  <data>
    <tabular pivotCacheId="1419794379">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63F24C-7F54-4285-8F72-79BE83CB65EB}" sourceName="Category">
  <pivotTables>
    <pivotTable tabId="5" name="User Interest Distribution"/>
    <pivotTable tabId="5" name="PivotTable4"/>
    <pivotTable tabId="5" name="PivotTable5"/>
  </pivotTables>
  <data>
    <tabular pivotCacheId="1419794379">
      <items count="6">
        <i x="5" s="1"/>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ID" xr10:uid="{D2B9A7C0-A311-41E6-A51B-865D42DBECCD}" cache="Slicer_User_ID" caption="User_ID" columnCount="2" style="SlicerStyleLight5" rowHeight="247650"/>
  <slicer name="Category" xr10:uid="{E0F5EA73-DC50-43B9-835A-5C26265934B1}" cache="Slicer_Category" caption="Category"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ID 1" xr10:uid="{A3037C49-144D-42FD-8965-04699F0803F4}" cache="Slicer_User_ID" caption="User_ID" columnCount="2" style="SlicerStyleLight5" rowHeight="247650"/>
  <slicer name="Category 1" xr10:uid="{1B473656-87E9-4727-9903-A690BAD1FC2B}" cache="Slicer_Category" caption="Category"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672295-4A85-4BE2-B7C8-602EB46E26BA}" name="Table2" displayName="Table2" ref="A2:H502" totalsRowShown="0" headerRowDxfId="0" dataDxfId="1" headerRowBorderDxfId="10" tableBorderDxfId="11">
  <autoFilter ref="A2:H502" xr:uid="{12672295-4A85-4BE2-B7C8-602EB46E26BA}"/>
  <tableColumns count="8">
    <tableColumn id="1" xr3:uid="{A978D45A-8D26-4423-8D0A-1C99720BB128}" name="User_ID" dataDxfId="9"/>
    <tableColumn id="2" xr3:uid="{BAD5C15B-385F-4AF1-8320-92A42E2690A5}" name="Post_ID" dataDxfId="8"/>
    <tableColumn id="3" xr3:uid="{44C80B45-29F1-4C9B-8DB0-282B1DA36511}" name="Category" dataDxfId="7"/>
    <tableColumn id="4" xr3:uid="{0D404821-CE47-4635-A0A9-06BF17841B7D}" name="Likes" dataDxfId="6"/>
    <tableColumn id="5" xr3:uid="{6F562023-D105-4FAA-9FC8-0F62AAEF5125}" name="Comments" dataDxfId="5"/>
    <tableColumn id="6" xr3:uid="{EEAF22BD-8EAD-4EAF-8E46-6427003E9F36}" name="Watch_Time(sec)" dataDxfId="4"/>
    <tableColumn id="7" xr3:uid="{93DF5BE5-B5DE-4D8D-8208-29F805CBC03C}" name="Saves" dataDxfId="3"/>
    <tableColumn id="8" xr3:uid="{ED49069A-B905-4B8B-B381-B523C48D04B1}" name="Engagement_Score" dataDxfId="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E347-6E33-46DC-AF4C-BE007E6C5A83}">
  <dimension ref="A1:H502"/>
  <sheetViews>
    <sheetView workbookViewId="0">
      <selection activeCell="F2" sqref="F2"/>
    </sheetView>
  </sheetViews>
  <sheetFormatPr defaultRowHeight="14.4" x14ac:dyDescent="0.3"/>
  <cols>
    <col min="1" max="1" width="13.33203125" bestFit="1" customWidth="1"/>
    <col min="2" max="2" width="13" bestFit="1" customWidth="1"/>
    <col min="3" max="3" width="14.21875" bestFit="1" customWidth="1"/>
    <col min="4" max="4" width="10.6640625" bestFit="1" customWidth="1"/>
    <col min="5" max="5" width="15.33203125" bestFit="1" customWidth="1"/>
    <col min="6" max="6" width="22.21875" bestFit="1" customWidth="1"/>
    <col min="7" max="7" width="10.88671875" bestFit="1" customWidth="1"/>
    <col min="8" max="8" width="23.77734375" customWidth="1"/>
  </cols>
  <sheetData>
    <row r="1" spans="1:8" ht="42" customHeight="1" x14ac:dyDescent="0.3">
      <c r="A1" s="10" t="s">
        <v>564</v>
      </c>
      <c r="B1" s="10"/>
      <c r="C1" s="10"/>
      <c r="D1" s="10"/>
      <c r="E1" s="10"/>
      <c r="F1" s="10"/>
      <c r="G1" s="10"/>
      <c r="H1" s="10"/>
    </row>
    <row r="2" spans="1:8" ht="15.6" x14ac:dyDescent="0.3">
      <c r="A2" s="1" t="s">
        <v>0</v>
      </c>
      <c r="B2" s="2" t="s">
        <v>1</v>
      </c>
      <c r="C2" s="2" t="s">
        <v>2</v>
      </c>
      <c r="D2" s="2" t="s">
        <v>3</v>
      </c>
      <c r="E2" s="2" t="s">
        <v>4</v>
      </c>
      <c r="F2" s="2" t="s">
        <v>5</v>
      </c>
      <c r="G2" s="3" t="s">
        <v>6</v>
      </c>
      <c r="H2" s="3" t="s">
        <v>563</v>
      </c>
    </row>
    <row r="3" spans="1:8" ht="15.6" x14ac:dyDescent="0.3">
      <c r="A3" s="4" t="s">
        <v>7</v>
      </c>
      <c r="B3" s="5" t="s">
        <v>8</v>
      </c>
      <c r="C3" s="5" t="s">
        <v>9</v>
      </c>
      <c r="D3" s="5">
        <v>34</v>
      </c>
      <c r="E3" s="5">
        <v>6</v>
      </c>
      <c r="F3" s="5">
        <v>42</v>
      </c>
      <c r="G3" s="6">
        <v>5</v>
      </c>
      <c r="H3" s="11">
        <v>63.1</v>
      </c>
    </row>
    <row r="4" spans="1:8" ht="15.6" x14ac:dyDescent="0.3">
      <c r="A4" s="4" t="s">
        <v>7</v>
      </c>
      <c r="B4" s="5" t="s">
        <v>10</v>
      </c>
      <c r="C4" s="5" t="s">
        <v>9</v>
      </c>
      <c r="D4" s="5">
        <v>7</v>
      </c>
      <c r="E4" s="5">
        <v>5</v>
      </c>
      <c r="F4" s="5">
        <v>117</v>
      </c>
      <c r="G4" s="6">
        <v>5</v>
      </c>
      <c r="H4" s="6">
        <v>37.85</v>
      </c>
    </row>
    <row r="5" spans="1:8" ht="15.6" x14ac:dyDescent="0.3">
      <c r="A5" s="4" t="s">
        <v>7</v>
      </c>
      <c r="B5" s="5" t="s">
        <v>11</v>
      </c>
      <c r="C5" s="5" t="s">
        <v>12</v>
      </c>
      <c r="D5" s="5">
        <v>24</v>
      </c>
      <c r="E5" s="5">
        <v>1</v>
      </c>
      <c r="F5" s="5">
        <v>118</v>
      </c>
      <c r="G5" s="6">
        <v>0</v>
      </c>
      <c r="H5" s="6">
        <v>31.9</v>
      </c>
    </row>
    <row r="6" spans="1:8" ht="15.6" x14ac:dyDescent="0.3">
      <c r="A6" s="4" t="s">
        <v>7</v>
      </c>
      <c r="B6" s="5" t="s">
        <v>13</v>
      </c>
      <c r="C6" s="5" t="s">
        <v>9</v>
      </c>
      <c r="D6" s="5">
        <v>39</v>
      </c>
      <c r="E6" s="5">
        <v>4</v>
      </c>
      <c r="F6" s="5">
        <v>68</v>
      </c>
      <c r="G6" s="6">
        <v>3</v>
      </c>
      <c r="H6" s="6">
        <v>59.4</v>
      </c>
    </row>
    <row r="7" spans="1:8" ht="15.6" x14ac:dyDescent="0.3">
      <c r="A7" s="4" t="s">
        <v>7</v>
      </c>
      <c r="B7" s="5" t="s">
        <v>14</v>
      </c>
      <c r="C7" s="5" t="s">
        <v>15</v>
      </c>
      <c r="D7" s="5">
        <v>3</v>
      </c>
      <c r="E7" s="5">
        <v>9</v>
      </c>
      <c r="F7" s="5">
        <v>46</v>
      </c>
      <c r="G7" s="6">
        <v>4</v>
      </c>
      <c r="H7" s="6">
        <v>35.299999999999997</v>
      </c>
    </row>
    <row r="8" spans="1:8" ht="15.6" x14ac:dyDescent="0.3">
      <c r="A8" s="4" t="s">
        <v>7</v>
      </c>
      <c r="B8" s="5" t="s">
        <v>16</v>
      </c>
      <c r="C8" s="5" t="s">
        <v>9</v>
      </c>
      <c r="D8" s="5">
        <v>35</v>
      </c>
      <c r="E8" s="5">
        <v>10</v>
      </c>
      <c r="F8" s="5">
        <v>63</v>
      </c>
      <c r="G8" s="6">
        <v>4</v>
      </c>
      <c r="H8" s="6">
        <v>70.150000000000006</v>
      </c>
    </row>
    <row r="9" spans="1:8" ht="15.6" x14ac:dyDescent="0.3">
      <c r="A9" s="4" t="s">
        <v>7</v>
      </c>
      <c r="B9" s="5" t="s">
        <v>17</v>
      </c>
      <c r="C9" s="5" t="s">
        <v>12</v>
      </c>
      <c r="D9" s="5">
        <v>10</v>
      </c>
      <c r="E9" s="5">
        <v>9</v>
      </c>
      <c r="F9" s="5">
        <v>14</v>
      </c>
      <c r="G9" s="6">
        <v>0</v>
      </c>
      <c r="H9" s="6">
        <v>28.7</v>
      </c>
    </row>
    <row r="10" spans="1:8" ht="15.6" x14ac:dyDescent="0.3">
      <c r="A10" s="4" t="s">
        <v>7</v>
      </c>
      <c r="B10" s="5" t="s">
        <v>18</v>
      </c>
      <c r="C10" s="5" t="s">
        <v>19</v>
      </c>
      <c r="D10" s="5">
        <v>23</v>
      </c>
      <c r="E10" s="5">
        <v>7</v>
      </c>
      <c r="F10" s="5">
        <v>71</v>
      </c>
      <c r="G10" s="6">
        <v>4</v>
      </c>
      <c r="H10" s="6">
        <v>52.55</v>
      </c>
    </row>
    <row r="11" spans="1:8" ht="15.6" x14ac:dyDescent="0.3">
      <c r="A11" s="4" t="s">
        <v>7</v>
      </c>
      <c r="B11" s="5" t="s">
        <v>20</v>
      </c>
      <c r="C11" s="5" t="s">
        <v>21</v>
      </c>
      <c r="D11" s="5">
        <v>43</v>
      </c>
      <c r="E11" s="5">
        <v>7</v>
      </c>
      <c r="F11" s="5">
        <v>99</v>
      </c>
      <c r="G11" s="6">
        <v>4</v>
      </c>
      <c r="H11" s="6">
        <v>73.95</v>
      </c>
    </row>
    <row r="12" spans="1:8" ht="15.6" x14ac:dyDescent="0.3">
      <c r="A12" s="4" t="s">
        <v>7</v>
      </c>
      <c r="B12" s="5" t="s">
        <v>22</v>
      </c>
      <c r="C12" s="5" t="s">
        <v>23</v>
      </c>
      <c r="D12" s="5">
        <v>39</v>
      </c>
      <c r="E12" s="5">
        <v>6</v>
      </c>
      <c r="F12" s="5">
        <v>59</v>
      </c>
      <c r="G12" s="6">
        <v>4</v>
      </c>
      <c r="H12" s="6">
        <v>65.95</v>
      </c>
    </row>
    <row r="13" spans="1:8" ht="15.6" x14ac:dyDescent="0.3">
      <c r="A13" s="4" t="s">
        <v>7</v>
      </c>
      <c r="B13" s="5" t="s">
        <v>24</v>
      </c>
      <c r="C13" s="5" t="s">
        <v>15</v>
      </c>
      <c r="D13" s="5">
        <v>33</v>
      </c>
      <c r="E13" s="5">
        <v>8</v>
      </c>
      <c r="F13" s="5">
        <v>45</v>
      </c>
      <c r="G13" s="6">
        <v>1</v>
      </c>
      <c r="H13" s="6">
        <v>54.25</v>
      </c>
    </row>
    <row r="14" spans="1:8" ht="15.6" x14ac:dyDescent="0.3">
      <c r="A14" s="4" t="s">
        <v>7</v>
      </c>
      <c r="B14" s="5" t="s">
        <v>25</v>
      </c>
      <c r="C14" s="5" t="s">
        <v>21</v>
      </c>
      <c r="D14" s="5">
        <v>20</v>
      </c>
      <c r="E14" s="5">
        <v>4</v>
      </c>
      <c r="F14" s="5">
        <v>108</v>
      </c>
      <c r="G14" s="6">
        <v>0</v>
      </c>
      <c r="H14" s="6">
        <v>33.4</v>
      </c>
    </row>
    <row r="15" spans="1:8" ht="15.6" x14ac:dyDescent="0.3">
      <c r="A15" s="4" t="s">
        <v>26</v>
      </c>
      <c r="B15" s="5" t="s">
        <v>27</v>
      </c>
      <c r="C15" s="5" t="s">
        <v>9</v>
      </c>
      <c r="D15" s="5">
        <v>36</v>
      </c>
      <c r="E15" s="5">
        <v>8</v>
      </c>
      <c r="F15" s="5">
        <v>33</v>
      </c>
      <c r="G15" s="6">
        <v>5</v>
      </c>
      <c r="H15" s="6">
        <v>68.650000000000006</v>
      </c>
    </row>
    <row r="16" spans="1:8" ht="15.6" x14ac:dyDescent="0.3">
      <c r="A16" s="4" t="s">
        <v>26</v>
      </c>
      <c r="B16" s="5" t="s">
        <v>28</v>
      </c>
      <c r="C16" s="5" t="s">
        <v>9</v>
      </c>
      <c r="D16" s="5">
        <v>1</v>
      </c>
      <c r="E16" s="5">
        <v>8</v>
      </c>
      <c r="F16" s="5">
        <v>114</v>
      </c>
      <c r="G16" s="6">
        <v>3</v>
      </c>
      <c r="H16" s="6">
        <v>31.7</v>
      </c>
    </row>
    <row r="17" spans="1:8" ht="15.6" x14ac:dyDescent="0.3">
      <c r="A17" s="4" t="s">
        <v>26</v>
      </c>
      <c r="B17" s="5" t="s">
        <v>29</v>
      </c>
      <c r="C17" s="5" t="s">
        <v>15</v>
      </c>
      <c r="D17" s="5">
        <v>11</v>
      </c>
      <c r="E17" s="5">
        <v>6</v>
      </c>
      <c r="F17" s="5">
        <v>108</v>
      </c>
      <c r="G17" s="6">
        <v>5</v>
      </c>
      <c r="H17" s="6">
        <v>43.4</v>
      </c>
    </row>
    <row r="18" spans="1:8" ht="15.6" x14ac:dyDescent="0.3">
      <c r="A18" s="4" t="s">
        <v>26</v>
      </c>
      <c r="B18" s="5" t="s">
        <v>30</v>
      </c>
      <c r="C18" s="5" t="s">
        <v>15</v>
      </c>
      <c r="D18" s="5">
        <v>9</v>
      </c>
      <c r="E18" s="5">
        <v>6</v>
      </c>
      <c r="F18" s="5">
        <v>88</v>
      </c>
      <c r="G18" s="6">
        <v>0</v>
      </c>
      <c r="H18" s="6">
        <v>25.4</v>
      </c>
    </row>
    <row r="19" spans="1:8" ht="15.6" x14ac:dyDescent="0.3">
      <c r="A19" s="4" t="s">
        <v>26</v>
      </c>
      <c r="B19" s="5" t="s">
        <v>31</v>
      </c>
      <c r="C19" s="5" t="s">
        <v>12</v>
      </c>
      <c r="D19" s="5">
        <v>9</v>
      </c>
      <c r="E19" s="5">
        <v>9</v>
      </c>
      <c r="F19" s="5">
        <v>49</v>
      </c>
      <c r="G19" s="6">
        <v>0</v>
      </c>
      <c r="H19" s="6">
        <v>29.45</v>
      </c>
    </row>
    <row r="20" spans="1:8" ht="15.6" x14ac:dyDescent="0.3">
      <c r="A20" s="4" t="s">
        <v>26</v>
      </c>
      <c r="B20" s="5" t="s">
        <v>32</v>
      </c>
      <c r="C20" s="5" t="s">
        <v>23</v>
      </c>
      <c r="D20" s="5">
        <v>45</v>
      </c>
      <c r="E20" s="5">
        <v>2</v>
      </c>
      <c r="F20" s="5">
        <v>0</v>
      </c>
      <c r="G20" s="6">
        <v>5</v>
      </c>
      <c r="H20" s="6">
        <v>64</v>
      </c>
    </row>
    <row r="21" spans="1:8" ht="15.6" x14ac:dyDescent="0.3">
      <c r="A21" s="4" t="s">
        <v>26</v>
      </c>
      <c r="B21" s="5" t="s">
        <v>33</v>
      </c>
      <c r="C21" s="5" t="s">
        <v>12</v>
      </c>
      <c r="D21" s="5">
        <v>24</v>
      </c>
      <c r="E21" s="5">
        <v>4</v>
      </c>
      <c r="F21" s="5">
        <v>68</v>
      </c>
      <c r="G21" s="6">
        <v>1</v>
      </c>
      <c r="H21" s="6">
        <v>38.4</v>
      </c>
    </row>
    <row r="22" spans="1:8" ht="15.6" x14ac:dyDescent="0.3">
      <c r="A22" s="4" t="s">
        <v>26</v>
      </c>
      <c r="B22" s="5" t="s">
        <v>34</v>
      </c>
      <c r="C22" s="5" t="s">
        <v>21</v>
      </c>
      <c r="D22" s="5">
        <v>32</v>
      </c>
      <c r="E22" s="5">
        <v>10</v>
      </c>
      <c r="F22" s="5">
        <v>104</v>
      </c>
      <c r="G22" s="6">
        <v>4</v>
      </c>
      <c r="H22" s="6">
        <v>69.2</v>
      </c>
    </row>
    <row r="23" spans="1:8" ht="15.6" x14ac:dyDescent="0.3">
      <c r="A23" s="4" t="s">
        <v>26</v>
      </c>
      <c r="B23" s="5" t="s">
        <v>35</v>
      </c>
      <c r="C23" s="5" t="s">
        <v>23</v>
      </c>
      <c r="D23" s="5">
        <v>3</v>
      </c>
      <c r="E23" s="5">
        <v>9</v>
      </c>
      <c r="F23" s="5">
        <v>62</v>
      </c>
      <c r="G23" s="6">
        <v>4</v>
      </c>
      <c r="H23" s="6">
        <v>36.1</v>
      </c>
    </row>
    <row r="24" spans="1:8" ht="15.6" x14ac:dyDescent="0.3">
      <c r="A24" s="4" t="s">
        <v>26</v>
      </c>
      <c r="B24" s="5" t="s">
        <v>36</v>
      </c>
      <c r="C24" s="5" t="s">
        <v>12</v>
      </c>
      <c r="D24" s="5">
        <v>5</v>
      </c>
      <c r="E24" s="5">
        <v>1</v>
      </c>
      <c r="F24" s="5">
        <v>98</v>
      </c>
      <c r="G24" s="6">
        <v>2</v>
      </c>
      <c r="H24" s="6">
        <v>17.899999999999999</v>
      </c>
    </row>
    <row r="25" spans="1:8" ht="15.6" x14ac:dyDescent="0.3">
      <c r="A25" s="4" t="s">
        <v>26</v>
      </c>
      <c r="B25" s="5" t="s">
        <v>37</v>
      </c>
      <c r="C25" s="5" t="s">
        <v>9</v>
      </c>
      <c r="D25" s="5">
        <v>44</v>
      </c>
      <c r="E25" s="5">
        <v>10</v>
      </c>
      <c r="F25" s="5">
        <v>113</v>
      </c>
      <c r="G25" s="6">
        <v>0</v>
      </c>
      <c r="H25" s="6">
        <v>69.650000000000006</v>
      </c>
    </row>
    <row r="26" spans="1:8" ht="15.6" x14ac:dyDescent="0.3">
      <c r="A26" s="4" t="s">
        <v>26</v>
      </c>
      <c r="B26" s="5" t="s">
        <v>38</v>
      </c>
      <c r="C26" s="5" t="s">
        <v>21</v>
      </c>
      <c r="D26" s="5">
        <v>35</v>
      </c>
      <c r="E26" s="5">
        <v>0</v>
      </c>
      <c r="F26" s="5">
        <v>21</v>
      </c>
      <c r="G26" s="6">
        <v>4</v>
      </c>
      <c r="H26" s="6">
        <v>48.05</v>
      </c>
    </row>
    <row r="27" spans="1:8" ht="15.6" x14ac:dyDescent="0.3">
      <c r="A27" s="4" t="s">
        <v>26</v>
      </c>
      <c r="B27" s="5" t="s">
        <v>39</v>
      </c>
      <c r="C27" s="5" t="s">
        <v>12</v>
      </c>
      <c r="D27" s="5">
        <v>1</v>
      </c>
      <c r="E27" s="5">
        <v>1</v>
      </c>
      <c r="F27" s="5">
        <v>85</v>
      </c>
      <c r="G27" s="6">
        <v>1</v>
      </c>
      <c r="H27" s="6">
        <v>10.25</v>
      </c>
    </row>
    <row r="28" spans="1:8" ht="15.6" x14ac:dyDescent="0.3">
      <c r="A28" s="4" t="s">
        <v>26</v>
      </c>
      <c r="B28" s="5" t="s">
        <v>40</v>
      </c>
      <c r="C28" s="5" t="s">
        <v>15</v>
      </c>
      <c r="D28" s="5">
        <v>50</v>
      </c>
      <c r="E28" s="5">
        <v>5</v>
      </c>
      <c r="F28" s="5">
        <v>54</v>
      </c>
      <c r="G28" s="6">
        <v>4</v>
      </c>
      <c r="H28" s="6">
        <v>74.7</v>
      </c>
    </row>
    <row r="29" spans="1:8" ht="15.6" x14ac:dyDescent="0.3">
      <c r="A29" s="4" t="s">
        <v>41</v>
      </c>
      <c r="B29" s="5" t="s">
        <v>42</v>
      </c>
      <c r="C29" s="5" t="s">
        <v>12</v>
      </c>
      <c r="D29" s="5">
        <v>30</v>
      </c>
      <c r="E29" s="5">
        <v>1</v>
      </c>
      <c r="F29" s="5">
        <v>65</v>
      </c>
      <c r="G29" s="6">
        <v>2</v>
      </c>
      <c r="H29" s="6">
        <v>41.25</v>
      </c>
    </row>
    <row r="30" spans="1:8" ht="15.6" x14ac:dyDescent="0.3">
      <c r="A30" s="4" t="s">
        <v>41</v>
      </c>
      <c r="B30" s="5" t="s">
        <v>43</v>
      </c>
      <c r="C30" s="5" t="s">
        <v>12</v>
      </c>
      <c r="D30" s="5">
        <v>25</v>
      </c>
      <c r="E30" s="5">
        <v>10</v>
      </c>
      <c r="F30" s="5">
        <v>99</v>
      </c>
      <c r="G30" s="6">
        <v>4</v>
      </c>
      <c r="H30" s="6">
        <v>61.95</v>
      </c>
    </row>
    <row r="31" spans="1:8" ht="15.6" x14ac:dyDescent="0.3">
      <c r="A31" s="4" t="s">
        <v>41</v>
      </c>
      <c r="B31" s="5" t="s">
        <v>44</v>
      </c>
      <c r="C31" s="5" t="s">
        <v>21</v>
      </c>
      <c r="D31" s="5">
        <v>13</v>
      </c>
      <c r="E31" s="5">
        <v>0</v>
      </c>
      <c r="F31" s="5">
        <v>58</v>
      </c>
      <c r="G31" s="6">
        <v>1</v>
      </c>
      <c r="H31" s="6">
        <v>18.899999999999999</v>
      </c>
    </row>
    <row r="32" spans="1:8" ht="15.6" x14ac:dyDescent="0.3">
      <c r="A32" s="4" t="s">
        <v>41</v>
      </c>
      <c r="B32" s="5" t="s">
        <v>45</v>
      </c>
      <c r="C32" s="5" t="s">
        <v>9</v>
      </c>
      <c r="D32" s="5">
        <v>26</v>
      </c>
      <c r="E32" s="5">
        <v>2</v>
      </c>
      <c r="F32" s="5">
        <v>118</v>
      </c>
      <c r="G32" s="6">
        <v>3</v>
      </c>
      <c r="H32" s="6">
        <v>44.9</v>
      </c>
    </row>
    <row r="33" spans="1:8" ht="15.6" x14ac:dyDescent="0.3">
      <c r="A33" s="4" t="s">
        <v>41</v>
      </c>
      <c r="B33" s="5" t="s">
        <v>46</v>
      </c>
      <c r="C33" s="5" t="s">
        <v>19</v>
      </c>
      <c r="D33" s="5">
        <v>42</v>
      </c>
      <c r="E33" s="5">
        <v>8</v>
      </c>
      <c r="F33" s="5">
        <v>18</v>
      </c>
      <c r="G33" s="6">
        <v>2</v>
      </c>
      <c r="H33" s="6">
        <v>64.900000000000006</v>
      </c>
    </row>
    <row r="34" spans="1:8" ht="15.6" x14ac:dyDescent="0.3">
      <c r="A34" s="4" t="s">
        <v>41</v>
      </c>
      <c r="B34" s="5" t="s">
        <v>47</v>
      </c>
      <c r="C34" s="5" t="s">
        <v>12</v>
      </c>
      <c r="D34" s="5">
        <v>35</v>
      </c>
      <c r="E34" s="5">
        <v>10</v>
      </c>
      <c r="F34" s="5">
        <v>12</v>
      </c>
      <c r="G34" s="6">
        <v>3</v>
      </c>
      <c r="H34" s="6">
        <v>64.599999999999994</v>
      </c>
    </row>
    <row r="35" spans="1:8" ht="15.6" x14ac:dyDescent="0.3">
      <c r="A35" s="4" t="s">
        <v>41</v>
      </c>
      <c r="B35" s="5" t="s">
        <v>48</v>
      </c>
      <c r="C35" s="5" t="s">
        <v>19</v>
      </c>
      <c r="D35" s="5">
        <v>14</v>
      </c>
      <c r="E35" s="5">
        <v>9</v>
      </c>
      <c r="F35" s="5">
        <v>74</v>
      </c>
      <c r="G35" s="6">
        <v>1</v>
      </c>
      <c r="H35" s="6">
        <v>38.700000000000003</v>
      </c>
    </row>
    <row r="36" spans="1:8" ht="15.6" x14ac:dyDescent="0.3">
      <c r="A36" s="4" t="s">
        <v>41</v>
      </c>
      <c r="B36" s="5" t="s">
        <v>49</v>
      </c>
      <c r="C36" s="5" t="s">
        <v>9</v>
      </c>
      <c r="D36" s="5">
        <v>16</v>
      </c>
      <c r="E36" s="5">
        <v>3</v>
      </c>
      <c r="F36" s="5">
        <v>65</v>
      </c>
      <c r="G36" s="6">
        <v>4</v>
      </c>
      <c r="H36" s="6">
        <v>37.25</v>
      </c>
    </row>
    <row r="37" spans="1:8" ht="15.6" x14ac:dyDescent="0.3">
      <c r="A37" s="4" t="s">
        <v>41</v>
      </c>
      <c r="B37" s="5" t="s">
        <v>50</v>
      </c>
      <c r="C37" s="5" t="s">
        <v>23</v>
      </c>
      <c r="D37" s="5">
        <v>48</v>
      </c>
      <c r="E37" s="5">
        <v>6</v>
      </c>
      <c r="F37" s="5">
        <v>74</v>
      </c>
      <c r="G37" s="6">
        <v>1</v>
      </c>
      <c r="H37" s="6">
        <v>66.7</v>
      </c>
    </row>
    <row r="38" spans="1:8" ht="15.6" x14ac:dyDescent="0.3">
      <c r="A38" s="4" t="s">
        <v>41</v>
      </c>
      <c r="B38" s="5" t="s">
        <v>51</v>
      </c>
      <c r="C38" s="5" t="s">
        <v>19</v>
      </c>
      <c r="D38" s="5">
        <v>20</v>
      </c>
      <c r="E38" s="5">
        <v>0</v>
      </c>
      <c r="F38" s="5">
        <v>35</v>
      </c>
      <c r="G38" s="6">
        <v>5</v>
      </c>
      <c r="H38" s="6">
        <v>36.75</v>
      </c>
    </row>
    <row r="39" spans="1:8" ht="15.6" x14ac:dyDescent="0.3">
      <c r="A39" s="4" t="s">
        <v>41</v>
      </c>
      <c r="B39" s="5" t="s">
        <v>52</v>
      </c>
      <c r="C39" s="5" t="s">
        <v>19</v>
      </c>
      <c r="D39" s="5">
        <v>6</v>
      </c>
      <c r="E39" s="5">
        <v>8</v>
      </c>
      <c r="F39" s="5">
        <v>53</v>
      </c>
      <c r="G39" s="6">
        <v>2</v>
      </c>
      <c r="H39" s="6">
        <v>30.65</v>
      </c>
    </row>
    <row r="40" spans="1:8" ht="15.6" x14ac:dyDescent="0.3">
      <c r="A40" s="4" t="s">
        <v>41</v>
      </c>
      <c r="B40" s="5" t="s">
        <v>53</v>
      </c>
      <c r="C40" s="5" t="s">
        <v>21</v>
      </c>
      <c r="D40" s="5">
        <v>50</v>
      </c>
      <c r="E40" s="5">
        <v>2</v>
      </c>
      <c r="F40" s="5">
        <v>35</v>
      </c>
      <c r="G40" s="6">
        <v>1</v>
      </c>
      <c r="H40" s="6">
        <v>58.75</v>
      </c>
    </row>
    <row r="41" spans="1:8" ht="15.6" x14ac:dyDescent="0.3">
      <c r="A41" s="4" t="s">
        <v>54</v>
      </c>
      <c r="B41" s="5" t="s">
        <v>55</v>
      </c>
      <c r="C41" s="5" t="s">
        <v>19</v>
      </c>
      <c r="D41" s="5">
        <v>3</v>
      </c>
      <c r="E41" s="5">
        <v>0</v>
      </c>
      <c r="F41" s="5">
        <v>77</v>
      </c>
      <c r="G41" s="6">
        <v>0</v>
      </c>
      <c r="H41" s="6">
        <v>6.85</v>
      </c>
    </row>
    <row r="42" spans="1:8" ht="15.6" x14ac:dyDescent="0.3">
      <c r="A42" s="4" t="s">
        <v>54</v>
      </c>
      <c r="B42" s="5" t="s">
        <v>56</v>
      </c>
      <c r="C42" s="5" t="s">
        <v>19</v>
      </c>
      <c r="D42" s="5">
        <v>49</v>
      </c>
      <c r="E42" s="5">
        <v>0</v>
      </c>
      <c r="F42" s="5">
        <v>16</v>
      </c>
      <c r="G42" s="6">
        <v>1</v>
      </c>
      <c r="H42" s="6">
        <v>52.8</v>
      </c>
    </row>
    <row r="43" spans="1:8" ht="15.6" x14ac:dyDescent="0.3">
      <c r="A43" s="4" t="s">
        <v>54</v>
      </c>
      <c r="B43" s="5" t="s">
        <v>57</v>
      </c>
      <c r="C43" s="5" t="s">
        <v>19</v>
      </c>
      <c r="D43" s="5">
        <v>9</v>
      </c>
      <c r="E43" s="5">
        <v>5</v>
      </c>
      <c r="F43" s="5">
        <v>65</v>
      </c>
      <c r="G43" s="6">
        <v>2</v>
      </c>
      <c r="H43" s="6">
        <v>28.25</v>
      </c>
    </row>
    <row r="44" spans="1:8" ht="15.6" x14ac:dyDescent="0.3">
      <c r="A44" s="4" t="s">
        <v>54</v>
      </c>
      <c r="B44" s="5" t="s">
        <v>58</v>
      </c>
      <c r="C44" s="5" t="s">
        <v>19</v>
      </c>
      <c r="D44" s="5">
        <v>29</v>
      </c>
      <c r="E44" s="5">
        <v>1</v>
      </c>
      <c r="F44" s="5">
        <v>56</v>
      </c>
      <c r="G44" s="6">
        <v>5</v>
      </c>
      <c r="H44" s="6">
        <v>48.8</v>
      </c>
    </row>
    <row r="45" spans="1:8" ht="15.6" x14ac:dyDescent="0.3">
      <c r="A45" s="4" t="s">
        <v>54</v>
      </c>
      <c r="B45" s="5" t="s">
        <v>59</v>
      </c>
      <c r="C45" s="5" t="s">
        <v>15</v>
      </c>
      <c r="D45" s="5">
        <v>27</v>
      </c>
      <c r="E45" s="5">
        <v>1</v>
      </c>
      <c r="F45" s="5">
        <v>12</v>
      </c>
      <c r="G45" s="6">
        <v>2</v>
      </c>
      <c r="H45" s="6">
        <v>35.6</v>
      </c>
    </row>
    <row r="46" spans="1:8" ht="15.6" x14ac:dyDescent="0.3">
      <c r="A46" s="4" t="s">
        <v>54</v>
      </c>
      <c r="B46" s="5" t="s">
        <v>60</v>
      </c>
      <c r="C46" s="5" t="s">
        <v>9</v>
      </c>
      <c r="D46" s="5">
        <v>17</v>
      </c>
      <c r="E46" s="5">
        <v>6</v>
      </c>
      <c r="F46" s="5">
        <v>106</v>
      </c>
      <c r="G46" s="6">
        <v>0</v>
      </c>
      <c r="H46" s="6">
        <v>34.299999999999997</v>
      </c>
    </row>
    <row r="47" spans="1:8" ht="15.6" x14ac:dyDescent="0.3">
      <c r="A47" s="4" t="s">
        <v>54</v>
      </c>
      <c r="B47" s="5" t="s">
        <v>61</v>
      </c>
      <c r="C47" s="5" t="s">
        <v>15</v>
      </c>
      <c r="D47" s="5">
        <v>0</v>
      </c>
      <c r="E47" s="5">
        <v>1</v>
      </c>
      <c r="F47" s="5">
        <v>17</v>
      </c>
      <c r="G47" s="6">
        <v>1</v>
      </c>
      <c r="H47" s="6">
        <v>5.85</v>
      </c>
    </row>
    <row r="48" spans="1:8" ht="15.6" x14ac:dyDescent="0.3">
      <c r="A48" s="4" t="s">
        <v>54</v>
      </c>
      <c r="B48" s="5" t="s">
        <v>62</v>
      </c>
      <c r="C48" s="5" t="s">
        <v>23</v>
      </c>
      <c r="D48" s="5">
        <v>36</v>
      </c>
      <c r="E48" s="5">
        <v>8</v>
      </c>
      <c r="F48" s="5">
        <v>31</v>
      </c>
      <c r="G48" s="6">
        <v>0</v>
      </c>
      <c r="H48" s="6">
        <v>53.55</v>
      </c>
    </row>
    <row r="49" spans="1:8" ht="15.6" x14ac:dyDescent="0.3">
      <c r="A49" s="4" t="s">
        <v>63</v>
      </c>
      <c r="B49" s="5" t="s">
        <v>64</v>
      </c>
      <c r="C49" s="5" t="s">
        <v>21</v>
      </c>
      <c r="D49" s="5">
        <v>18</v>
      </c>
      <c r="E49" s="5">
        <v>10</v>
      </c>
      <c r="F49" s="5">
        <v>48</v>
      </c>
      <c r="G49" s="6">
        <v>3</v>
      </c>
      <c r="H49" s="6">
        <v>49.4</v>
      </c>
    </row>
    <row r="50" spans="1:8" ht="15.6" x14ac:dyDescent="0.3">
      <c r="A50" s="4" t="s">
        <v>63</v>
      </c>
      <c r="B50" s="5" t="s">
        <v>65</v>
      </c>
      <c r="C50" s="5" t="s">
        <v>15</v>
      </c>
      <c r="D50" s="5">
        <v>39</v>
      </c>
      <c r="E50" s="5">
        <v>8</v>
      </c>
      <c r="F50" s="5">
        <v>32</v>
      </c>
      <c r="G50" s="6">
        <v>0</v>
      </c>
      <c r="H50" s="6">
        <v>56.6</v>
      </c>
    </row>
    <row r="51" spans="1:8" ht="15.6" x14ac:dyDescent="0.3">
      <c r="A51" s="4" t="s">
        <v>63</v>
      </c>
      <c r="B51" s="5" t="s">
        <v>66</v>
      </c>
      <c r="C51" s="5" t="s">
        <v>15</v>
      </c>
      <c r="D51" s="5">
        <v>13</v>
      </c>
      <c r="E51" s="5">
        <v>7</v>
      </c>
      <c r="F51" s="5">
        <v>104</v>
      </c>
      <c r="G51" s="6">
        <v>3</v>
      </c>
      <c r="H51" s="6">
        <v>41.2</v>
      </c>
    </row>
    <row r="52" spans="1:8" ht="15.6" x14ac:dyDescent="0.3">
      <c r="A52" s="4" t="s">
        <v>63</v>
      </c>
      <c r="B52" s="5" t="s">
        <v>67</v>
      </c>
      <c r="C52" s="5" t="s">
        <v>23</v>
      </c>
      <c r="D52" s="5">
        <v>28</v>
      </c>
      <c r="E52" s="5">
        <v>2</v>
      </c>
      <c r="F52" s="5">
        <v>73</v>
      </c>
      <c r="G52" s="6">
        <v>4</v>
      </c>
      <c r="H52" s="6">
        <v>47.65</v>
      </c>
    </row>
    <row r="53" spans="1:8" ht="15.6" x14ac:dyDescent="0.3">
      <c r="A53" s="4" t="s">
        <v>63</v>
      </c>
      <c r="B53" s="5" t="s">
        <v>68</v>
      </c>
      <c r="C53" s="5" t="s">
        <v>15</v>
      </c>
      <c r="D53" s="5">
        <v>6</v>
      </c>
      <c r="E53" s="5">
        <v>0</v>
      </c>
      <c r="F53" s="5">
        <v>105</v>
      </c>
      <c r="G53" s="6">
        <v>3</v>
      </c>
      <c r="H53" s="6">
        <v>20.25</v>
      </c>
    </row>
    <row r="54" spans="1:8" ht="15.6" x14ac:dyDescent="0.3">
      <c r="A54" s="4" t="s">
        <v>63</v>
      </c>
      <c r="B54" s="5" t="s">
        <v>69</v>
      </c>
      <c r="C54" s="5" t="s">
        <v>15</v>
      </c>
      <c r="D54" s="5">
        <v>33</v>
      </c>
      <c r="E54" s="5">
        <v>8</v>
      </c>
      <c r="F54" s="5">
        <v>91</v>
      </c>
      <c r="G54" s="6">
        <v>5</v>
      </c>
      <c r="H54" s="6">
        <v>68.55</v>
      </c>
    </row>
    <row r="55" spans="1:8" ht="15.6" x14ac:dyDescent="0.3">
      <c r="A55" s="4" t="s">
        <v>63</v>
      </c>
      <c r="B55" s="5" t="s">
        <v>70</v>
      </c>
      <c r="C55" s="5" t="s">
        <v>9</v>
      </c>
      <c r="D55" s="5">
        <v>1</v>
      </c>
      <c r="E55" s="5">
        <v>1</v>
      </c>
      <c r="F55" s="5">
        <v>103</v>
      </c>
      <c r="G55" s="6">
        <v>5</v>
      </c>
      <c r="H55" s="6">
        <v>23.15</v>
      </c>
    </row>
    <row r="56" spans="1:8" ht="15.6" x14ac:dyDescent="0.3">
      <c r="A56" s="4" t="s">
        <v>63</v>
      </c>
      <c r="B56" s="5" t="s">
        <v>71</v>
      </c>
      <c r="C56" s="5" t="s">
        <v>23</v>
      </c>
      <c r="D56" s="5">
        <v>35</v>
      </c>
      <c r="E56" s="5">
        <v>2</v>
      </c>
      <c r="F56" s="5">
        <v>12</v>
      </c>
      <c r="G56" s="6">
        <v>3</v>
      </c>
      <c r="H56" s="6">
        <v>48.6</v>
      </c>
    </row>
    <row r="57" spans="1:8" ht="15.6" x14ac:dyDescent="0.3">
      <c r="A57" s="4" t="s">
        <v>63</v>
      </c>
      <c r="B57" s="5" t="s">
        <v>72</v>
      </c>
      <c r="C57" s="5" t="s">
        <v>12</v>
      </c>
      <c r="D57" s="5">
        <v>33</v>
      </c>
      <c r="E57" s="5">
        <v>4</v>
      </c>
      <c r="F57" s="5">
        <v>4</v>
      </c>
      <c r="G57" s="6">
        <v>5</v>
      </c>
      <c r="H57" s="6">
        <v>56.2</v>
      </c>
    </row>
    <row r="58" spans="1:8" ht="15.6" x14ac:dyDescent="0.3">
      <c r="A58" s="4" t="s">
        <v>73</v>
      </c>
      <c r="B58" s="5" t="s">
        <v>74</v>
      </c>
      <c r="C58" s="5" t="s">
        <v>19</v>
      </c>
      <c r="D58" s="5">
        <v>4</v>
      </c>
      <c r="E58" s="5">
        <v>9</v>
      </c>
      <c r="F58" s="5">
        <v>120</v>
      </c>
      <c r="G58" s="6">
        <v>4</v>
      </c>
      <c r="H58" s="6">
        <v>40</v>
      </c>
    </row>
    <row r="59" spans="1:8" ht="15.6" x14ac:dyDescent="0.3">
      <c r="A59" s="4" t="s">
        <v>73</v>
      </c>
      <c r="B59" s="5" t="s">
        <v>75</v>
      </c>
      <c r="C59" s="5" t="s">
        <v>23</v>
      </c>
      <c r="D59" s="5">
        <v>12</v>
      </c>
      <c r="E59" s="5">
        <v>9</v>
      </c>
      <c r="F59" s="5">
        <v>7</v>
      </c>
      <c r="G59" s="6">
        <v>2</v>
      </c>
      <c r="H59" s="6">
        <v>36.35</v>
      </c>
    </row>
    <row r="60" spans="1:8" ht="15.6" x14ac:dyDescent="0.3">
      <c r="A60" s="4" t="s">
        <v>73</v>
      </c>
      <c r="B60" s="5" t="s">
        <v>76</v>
      </c>
      <c r="C60" s="5" t="s">
        <v>12</v>
      </c>
      <c r="D60" s="5">
        <v>50</v>
      </c>
      <c r="E60" s="5">
        <v>1</v>
      </c>
      <c r="F60" s="5">
        <v>42</v>
      </c>
      <c r="G60" s="6">
        <v>3</v>
      </c>
      <c r="H60" s="6">
        <v>63.1</v>
      </c>
    </row>
    <row r="61" spans="1:8" ht="15.6" x14ac:dyDescent="0.3">
      <c r="A61" s="4" t="s">
        <v>73</v>
      </c>
      <c r="B61" s="5" t="s">
        <v>77</v>
      </c>
      <c r="C61" s="5" t="s">
        <v>12</v>
      </c>
      <c r="D61" s="5">
        <v>41</v>
      </c>
      <c r="E61" s="5">
        <v>4</v>
      </c>
      <c r="F61" s="5">
        <v>88</v>
      </c>
      <c r="G61" s="6">
        <v>3</v>
      </c>
      <c r="H61" s="6">
        <v>62.4</v>
      </c>
    </row>
    <row r="62" spans="1:8" ht="15.6" x14ac:dyDescent="0.3">
      <c r="A62" s="4" t="s">
        <v>73</v>
      </c>
      <c r="B62" s="5" t="s">
        <v>78</v>
      </c>
      <c r="C62" s="5" t="s">
        <v>21</v>
      </c>
      <c r="D62" s="5">
        <v>40</v>
      </c>
      <c r="E62" s="5">
        <v>1</v>
      </c>
      <c r="F62" s="5">
        <v>67</v>
      </c>
      <c r="G62" s="6">
        <v>1</v>
      </c>
      <c r="H62" s="6">
        <v>48.35</v>
      </c>
    </row>
    <row r="63" spans="1:8" ht="15.6" x14ac:dyDescent="0.3">
      <c r="A63" s="4" t="s">
        <v>73</v>
      </c>
      <c r="B63" s="5" t="s">
        <v>79</v>
      </c>
      <c r="C63" s="5" t="s">
        <v>19</v>
      </c>
      <c r="D63" s="5">
        <v>20</v>
      </c>
      <c r="E63" s="5">
        <v>7</v>
      </c>
      <c r="F63" s="5">
        <v>69</v>
      </c>
      <c r="G63" s="6">
        <v>2</v>
      </c>
      <c r="H63" s="6">
        <v>43.45</v>
      </c>
    </row>
    <row r="64" spans="1:8" ht="15.6" x14ac:dyDescent="0.3">
      <c r="A64" s="4" t="s">
        <v>73</v>
      </c>
      <c r="B64" s="5" t="s">
        <v>80</v>
      </c>
      <c r="C64" s="5" t="s">
        <v>9</v>
      </c>
      <c r="D64" s="5">
        <v>32</v>
      </c>
      <c r="E64" s="5">
        <v>0</v>
      </c>
      <c r="F64" s="5">
        <v>6</v>
      </c>
      <c r="G64" s="6">
        <v>0</v>
      </c>
      <c r="H64" s="6">
        <v>32.299999999999997</v>
      </c>
    </row>
    <row r="65" spans="1:8" ht="15.6" x14ac:dyDescent="0.3">
      <c r="A65" s="4" t="s">
        <v>73</v>
      </c>
      <c r="B65" s="5" t="s">
        <v>81</v>
      </c>
      <c r="C65" s="5" t="s">
        <v>21</v>
      </c>
      <c r="D65" s="5">
        <v>8</v>
      </c>
      <c r="E65" s="5">
        <v>9</v>
      </c>
      <c r="F65" s="5">
        <v>118</v>
      </c>
      <c r="G65" s="6">
        <v>3</v>
      </c>
      <c r="H65" s="6">
        <v>40.9</v>
      </c>
    </row>
    <row r="66" spans="1:8" ht="15.6" x14ac:dyDescent="0.3">
      <c r="A66" s="4" t="s">
        <v>73</v>
      </c>
      <c r="B66" s="5" t="s">
        <v>82</v>
      </c>
      <c r="C66" s="5" t="s">
        <v>15</v>
      </c>
      <c r="D66" s="5">
        <v>10</v>
      </c>
      <c r="E66" s="5">
        <v>6</v>
      </c>
      <c r="F66" s="5">
        <v>10</v>
      </c>
      <c r="G66" s="6">
        <v>1</v>
      </c>
      <c r="H66" s="6">
        <v>25.5</v>
      </c>
    </row>
    <row r="67" spans="1:8" ht="15.6" x14ac:dyDescent="0.3">
      <c r="A67" s="4" t="s">
        <v>83</v>
      </c>
      <c r="B67" s="5" t="s">
        <v>84</v>
      </c>
      <c r="C67" s="5" t="s">
        <v>9</v>
      </c>
      <c r="D67" s="5">
        <v>44</v>
      </c>
      <c r="E67" s="5">
        <v>0</v>
      </c>
      <c r="F67" s="5">
        <v>93</v>
      </c>
      <c r="G67" s="6">
        <v>2</v>
      </c>
      <c r="H67" s="6">
        <v>54.65</v>
      </c>
    </row>
    <row r="68" spans="1:8" ht="15.6" x14ac:dyDescent="0.3">
      <c r="A68" s="4" t="s">
        <v>83</v>
      </c>
      <c r="B68" s="5" t="s">
        <v>85</v>
      </c>
      <c r="C68" s="5" t="s">
        <v>19</v>
      </c>
      <c r="D68" s="5">
        <v>13</v>
      </c>
      <c r="E68" s="5">
        <v>7</v>
      </c>
      <c r="F68" s="5">
        <v>59</v>
      </c>
      <c r="G68" s="6">
        <v>3</v>
      </c>
      <c r="H68" s="6">
        <v>38.950000000000003</v>
      </c>
    </row>
    <row r="69" spans="1:8" ht="15.6" x14ac:dyDescent="0.3">
      <c r="A69" s="4" t="s">
        <v>83</v>
      </c>
      <c r="B69" s="5" t="s">
        <v>86</v>
      </c>
      <c r="C69" s="5" t="s">
        <v>19</v>
      </c>
      <c r="D69" s="5">
        <v>39</v>
      </c>
      <c r="E69" s="5">
        <v>7</v>
      </c>
      <c r="F69" s="5">
        <v>0</v>
      </c>
      <c r="G69" s="6">
        <v>5</v>
      </c>
      <c r="H69" s="6">
        <v>68</v>
      </c>
    </row>
    <row r="70" spans="1:8" ht="15.6" x14ac:dyDescent="0.3">
      <c r="A70" s="4" t="s">
        <v>83</v>
      </c>
      <c r="B70" s="5" t="s">
        <v>87</v>
      </c>
      <c r="C70" s="5" t="s">
        <v>12</v>
      </c>
      <c r="D70" s="5">
        <v>44</v>
      </c>
      <c r="E70" s="5">
        <v>6</v>
      </c>
      <c r="F70" s="5">
        <v>27</v>
      </c>
      <c r="G70" s="6">
        <v>0</v>
      </c>
      <c r="H70" s="6">
        <v>57.35</v>
      </c>
    </row>
    <row r="71" spans="1:8" ht="15.6" x14ac:dyDescent="0.3">
      <c r="A71" s="4" t="s">
        <v>83</v>
      </c>
      <c r="B71" s="5" t="s">
        <v>88</v>
      </c>
      <c r="C71" s="5" t="s">
        <v>21</v>
      </c>
      <c r="D71" s="5">
        <v>1</v>
      </c>
      <c r="E71" s="5">
        <v>10</v>
      </c>
      <c r="F71" s="5">
        <v>44</v>
      </c>
      <c r="G71" s="6">
        <v>2</v>
      </c>
      <c r="H71" s="6">
        <v>29.2</v>
      </c>
    </row>
    <row r="72" spans="1:8" ht="15.6" x14ac:dyDescent="0.3">
      <c r="A72" s="4" t="s">
        <v>83</v>
      </c>
      <c r="B72" s="5" t="s">
        <v>89</v>
      </c>
      <c r="C72" s="5" t="s">
        <v>19</v>
      </c>
      <c r="D72" s="5">
        <v>8</v>
      </c>
      <c r="E72" s="5">
        <v>6</v>
      </c>
      <c r="F72" s="5">
        <v>70</v>
      </c>
      <c r="G72" s="6">
        <v>0</v>
      </c>
      <c r="H72" s="6">
        <v>23.5</v>
      </c>
    </row>
    <row r="73" spans="1:8" ht="15.6" x14ac:dyDescent="0.3">
      <c r="A73" s="4" t="s">
        <v>83</v>
      </c>
      <c r="B73" s="5" t="s">
        <v>90</v>
      </c>
      <c r="C73" s="5" t="s">
        <v>9</v>
      </c>
      <c r="D73" s="5">
        <v>43</v>
      </c>
      <c r="E73" s="5">
        <v>10</v>
      </c>
      <c r="F73" s="5">
        <v>34</v>
      </c>
      <c r="G73" s="6">
        <v>5</v>
      </c>
      <c r="H73" s="6">
        <v>79.7</v>
      </c>
    </row>
    <row r="74" spans="1:8" ht="15.6" x14ac:dyDescent="0.3">
      <c r="A74" s="4" t="s">
        <v>83</v>
      </c>
      <c r="B74" s="5" t="s">
        <v>91</v>
      </c>
      <c r="C74" s="5" t="s">
        <v>23</v>
      </c>
      <c r="D74" s="5">
        <v>27</v>
      </c>
      <c r="E74" s="5">
        <v>8</v>
      </c>
      <c r="F74" s="5">
        <v>35</v>
      </c>
      <c r="G74" s="6">
        <v>0</v>
      </c>
      <c r="H74" s="6">
        <v>44.75</v>
      </c>
    </row>
    <row r="75" spans="1:8" ht="15.6" x14ac:dyDescent="0.3">
      <c r="A75" s="4" t="s">
        <v>83</v>
      </c>
      <c r="B75" s="5" t="s">
        <v>92</v>
      </c>
      <c r="C75" s="5" t="s">
        <v>23</v>
      </c>
      <c r="D75" s="5">
        <v>33</v>
      </c>
      <c r="E75" s="5">
        <v>5</v>
      </c>
      <c r="F75" s="5">
        <v>67</v>
      </c>
      <c r="G75" s="6">
        <v>1</v>
      </c>
      <c r="H75" s="6">
        <v>49.35</v>
      </c>
    </row>
    <row r="76" spans="1:8" ht="15.6" x14ac:dyDescent="0.3">
      <c r="A76" s="4" t="s">
        <v>93</v>
      </c>
      <c r="B76" s="5" t="s">
        <v>94</v>
      </c>
      <c r="C76" s="5" t="s">
        <v>23</v>
      </c>
      <c r="D76" s="5">
        <v>5</v>
      </c>
      <c r="E76" s="5">
        <v>3</v>
      </c>
      <c r="F76" s="5">
        <v>59</v>
      </c>
      <c r="G76" s="6">
        <v>3</v>
      </c>
      <c r="H76" s="6">
        <v>22.95</v>
      </c>
    </row>
    <row r="77" spans="1:8" ht="15.6" x14ac:dyDescent="0.3">
      <c r="A77" s="4" t="s">
        <v>93</v>
      </c>
      <c r="B77" s="5" t="s">
        <v>95</v>
      </c>
      <c r="C77" s="5" t="s">
        <v>15</v>
      </c>
      <c r="D77" s="5">
        <v>36</v>
      </c>
      <c r="E77" s="5">
        <v>1</v>
      </c>
      <c r="F77" s="5">
        <v>13</v>
      </c>
      <c r="G77" s="6">
        <v>3</v>
      </c>
      <c r="H77" s="6">
        <v>47.65</v>
      </c>
    </row>
    <row r="78" spans="1:8" ht="15.6" x14ac:dyDescent="0.3">
      <c r="A78" s="4" t="s">
        <v>93</v>
      </c>
      <c r="B78" s="5" t="s">
        <v>96</v>
      </c>
      <c r="C78" s="5" t="s">
        <v>12</v>
      </c>
      <c r="D78" s="5">
        <v>10</v>
      </c>
      <c r="E78" s="5">
        <v>3</v>
      </c>
      <c r="F78" s="5">
        <v>30</v>
      </c>
      <c r="G78" s="6">
        <v>2</v>
      </c>
      <c r="H78" s="6">
        <v>23.5</v>
      </c>
    </row>
    <row r="79" spans="1:8" ht="15.6" x14ac:dyDescent="0.3">
      <c r="A79" s="4" t="s">
        <v>93</v>
      </c>
      <c r="B79" s="5" t="s">
        <v>97</v>
      </c>
      <c r="C79" s="5" t="s">
        <v>21</v>
      </c>
      <c r="D79" s="5">
        <v>40</v>
      </c>
      <c r="E79" s="5">
        <v>1</v>
      </c>
      <c r="F79" s="5">
        <v>27</v>
      </c>
      <c r="G79" s="6">
        <v>4</v>
      </c>
      <c r="H79" s="6">
        <v>55.35</v>
      </c>
    </row>
    <row r="80" spans="1:8" ht="15.6" x14ac:dyDescent="0.3">
      <c r="A80" s="4" t="s">
        <v>93</v>
      </c>
      <c r="B80" s="5" t="s">
        <v>98</v>
      </c>
      <c r="C80" s="5" t="s">
        <v>21</v>
      </c>
      <c r="D80" s="5">
        <v>34</v>
      </c>
      <c r="E80" s="5">
        <v>6</v>
      </c>
      <c r="F80" s="5">
        <v>46</v>
      </c>
      <c r="G80" s="6">
        <v>1</v>
      </c>
      <c r="H80" s="6">
        <v>51.3</v>
      </c>
    </row>
    <row r="81" spans="1:8" ht="15.6" x14ac:dyDescent="0.3">
      <c r="A81" s="4" t="s">
        <v>93</v>
      </c>
      <c r="B81" s="5" t="s">
        <v>99</v>
      </c>
      <c r="C81" s="5" t="s">
        <v>9</v>
      </c>
      <c r="D81" s="5">
        <v>24</v>
      </c>
      <c r="E81" s="5">
        <v>0</v>
      </c>
      <c r="F81" s="5">
        <v>78</v>
      </c>
      <c r="G81" s="6">
        <v>5</v>
      </c>
      <c r="H81" s="6">
        <v>42.9</v>
      </c>
    </row>
    <row r="82" spans="1:8" ht="15.6" x14ac:dyDescent="0.3">
      <c r="A82" s="4" t="s">
        <v>93</v>
      </c>
      <c r="B82" s="5" t="s">
        <v>100</v>
      </c>
      <c r="C82" s="5" t="s">
        <v>19</v>
      </c>
      <c r="D82" s="5">
        <v>50</v>
      </c>
      <c r="E82" s="5">
        <v>0</v>
      </c>
      <c r="F82" s="5">
        <v>73</v>
      </c>
      <c r="G82" s="6">
        <v>5</v>
      </c>
      <c r="H82" s="6">
        <v>68.650000000000006</v>
      </c>
    </row>
    <row r="83" spans="1:8" ht="15.6" x14ac:dyDescent="0.3">
      <c r="A83" s="4" t="s">
        <v>93</v>
      </c>
      <c r="B83" s="5" t="s">
        <v>101</v>
      </c>
      <c r="C83" s="5" t="s">
        <v>23</v>
      </c>
      <c r="D83" s="5">
        <v>39</v>
      </c>
      <c r="E83" s="5">
        <v>9</v>
      </c>
      <c r="F83" s="5">
        <v>11</v>
      </c>
      <c r="G83" s="6">
        <v>3</v>
      </c>
      <c r="H83" s="6">
        <v>66.55</v>
      </c>
    </row>
    <row r="84" spans="1:8" ht="15.6" x14ac:dyDescent="0.3">
      <c r="A84" s="4" t="s">
        <v>93</v>
      </c>
      <c r="B84" s="5" t="s">
        <v>102</v>
      </c>
      <c r="C84" s="5" t="s">
        <v>15</v>
      </c>
      <c r="D84" s="5">
        <v>1</v>
      </c>
      <c r="E84" s="5">
        <v>2</v>
      </c>
      <c r="F84" s="5">
        <v>24</v>
      </c>
      <c r="G84" s="6">
        <v>0</v>
      </c>
      <c r="H84" s="6">
        <v>6.2</v>
      </c>
    </row>
    <row r="85" spans="1:8" ht="15.6" x14ac:dyDescent="0.3">
      <c r="A85" s="4" t="s">
        <v>93</v>
      </c>
      <c r="B85" s="5" t="s">
        <v>103</v>
      </c>
      <c r="C85" s="5" t="s">
        <v>9</v>
      </c>
      <c r="D85" s="5">
        <v>9</v>
      </c>
      <c r="E85" s="5">
        <v>4</v>
      </c>
      <c r="F85" s="5">
        <v>116</v>
      </c>
      <c r="G85" s="6">
        <v>3</v>
      </c>
      <c r="H85" s="6">
        <v>31.8</v>
      </c>
    </row>
    <row r="86" spans="1:8" ht="15.6" x14ac:dyDescent="0.3">
      <c r="A86" s="4" t="s">
        <v>93</v>
      </c>
      <c r="B86" s="5" t="s">
        <v>104</v>
      </c>
      <c r="C86" s="5" t="s">
        <v>15</v>
      </c>
      <c r="D86" s="5">
        <v>23</v>
      </c>
      <c r="E86" s="5">
        <v>1</v>
      </c>
      <c r="F86" s="5">
        <v>59</v>
      </c>
      <c r="G86" s="6">
        <v>2</v>
      </c>
      <c r="H86" s="6">
        <v>33.950000000000003</v>
      </c>
    </row>
    <row r="87" spans="1:8" ht="15.6" x14ac:dyDescent="0.3">
      <c r="A87" s="4" t="s">
        <v>93</v>
      </c>
      <c r="B87" s="5" t="s">
        <v>105</v>
      </c>
      <c r="C87" s="5" t="s">
        <v>21</v>
      </c>
      <c r="D87" s="5">
        <v>25</v>
      </c>
      <c r="E87" s="5">
        <v>2</v>
      </c>
      <c r="F87" s="5">
        <v>36</v>
      </c>
      <c r="G87" s="6">
        <v>5</v>
      </c>
      <c r="H87" s="6">
        <v>45.8</v>
      </c>
    </row>
    <row r="88" spans="1:8" ht="15.6" x14ac:dyDescent="0.3">
      <c r="A88" s="4" t="s">
        <v>106</v>
      </c>
      <c r="B88" s="5" t="s">
        <v>107</v>
      </c>
      <c r="C88" s="5" t="s">
        <v>12</v>
      </c>
      <c r="D88" s="5">
        <v>4</v>
      </c>
      <c r="E88" s="5">
        <v>9</v>
      </c>
      <c r="F88" s="5">
        <v>41</v>
      </c>
      <c r="G88" s="6">
        <v>4</v>
      </c>
      <c r="H88" s="6">
        <v>36.049999999999997</v>
      </c>
    </row>
    <row r="89" spans="1:8" ht="15.6" x14ac:dyDescent="0.3">
      <c r="A89" s="4" t="s">
        <v>106</v>
      </c>
      <c r="B89" s="5" t="s">
        <v>108</v>
      </c>
      <c r="C89" s="5" t="s">
        <v>19</v>
      </c>
      <c r="D89" s="5">
        <v>19</v>
      </c>
      <c r="E89" s="5">
        <v>4</v>
      </c>
      <c r="F89" s="5">
        <v>68</v>
      </c>
      <c r="G89" s="6">
        <v>3</v>
      </c>
      <c r="H89" s="6">
        <v>39.4</v>
      </c>
    </row>
    <row r="90" spans="1:8" ht="15.6" x14ac:dyDescent="0.3">
      <c r="A90" s="4" t="s">
        <v>106</v>
      </c>
      <c r="B90" s="5" t="s">
        <v>109</v>
      </c>
      <c r="C90" s="5" t="s">
        <v>12</v>
      </c>
      <c r="D90" s="5">
        <v>21</v>
      </c>
      <c r="E90" s="5">
        <v>0</v>
      </c>
      <c r="F90" s="5">
        <v>56</v>
      </c>
      <c r="G90" s="6">
        <v>2</v>
      </c>
      <c r="H90" s="6">
        <v>29.8</v>
      </c>
    </row>
    <row r="91" spans="1:8" ht="15.6" x14ac:dyDescent="0.3">
      <c r="A91" s="4" t="s">
        <v>106</v>
      </c>
      <c r="B91" s="5" t="s">
        <v>110</v>
      </c>
      <c r="C91" s="5" t="s">
        <v>21</v>
      </c>
      <c r="D91" s="5">
        <v>41</v>
      </c>
      <c r="E91" s="5">
        <v>3</v>
      </c>
      <c r="F91" s="5">
        <v>110</v>
      </c>
      <c r="G91" s="6">
        <v>4</v>
      </c>
      <c r="H91" s="6">
        <v>64.5</v>
      </c>
    </row>
    <row r="92" spans="1:8" ht="15.6" x14ac:dyDescent="0.3">
      <c r="A92" s="4" t="s">
        <v>106</v>
      </c>
      <c r="B92" s="5" t="s">
        <v>111</v>
      </c>
      <c r="C92" s="5" t="s">
        <v>23</v>
      </c>
      <c r="D92" s="5">
        <v>5</v>
      </c>
      <c r="E92" s="5">
        <v>10</v>
      </c>
      <c r="F92" s="5">
        <v>105</v>
      </c>
      <c r="G92" s="6">
        <v>3</v>
      </c>
      <c r="H92" s="6">
        <v>39.25</v>
      </c>
    </row>
    <row r="93" spans="1:8" ht="15.6" x14ac:dyDescent="0.3">
      <c r="A93" s="4" t="s">
        <v>106</v>
      </c>
      <c r="B93" s="5" t="s">
        <v>112</v>
      </c>
      <c r="C93" s="5" t="s">
        <v>23</v>
      </c>
      <c r="D93" s="5">
        <v>35</v>
      </c>
      <c r="E93" s="5">
        <v>2</v>
      </c>
      <c r="F93" s="5">
        <v>113</v>
      </c>
      <c r="G93" s="6">
        <v>4</v>
      </c>
      <c r="H93" s="6">
        <v>56.65</v>
      </c>
    </row>
    <row r="94" spans="1:8" ht="15.6" x14ac:dyDescent="0.3">
      <c r="A94" s="4" t="s">
        <v>106</v>
      </c>
      <c r="B94" s="5" t="s">
        <v>113</v>
      </c>
      <c r="C94" s="5" t="s">
        <v>21</v>
      </c>
      <c r="D94" s="5">
        <v>36</v>
      </c>
      <c r="E94" s="5">
        <v>2</v>
      </c>
      <c r="F94" s="5">
        <v>18</v>
      </c>
      <c r="G94" s="6">
        <v>1</v>
      </c>
      <c r="H94" s="6">
        <v>43.9</v>
      </c>
    </row>
    <row r="95" spans="1:8" ht="15.6" x14ac:dyDescent="0.3">
      <c r="A95" s="4" t="s">
        <v>106</v>
      </c>
      <c r="B95" s="5" t="s">
        <v>114</v>
      </c>
      <c r="C95" s="5" t="s">
        <v>9</v>
      </c>
      <c r="D95" s="5">
        <v>25</v>
      </c>
      <c r="E95" s="5">
        <v>8</v>
      </c>
      <c r="F95" s="5">
        <v>8</v>
      </c>
      <c r="G95" s="6">
        <v>2</v>
      </c>
      <c r="H95" s="6">
        <v>47.4</v>
      </c>
    </row>
    <row r="96" spans="1:8" ht="15.6" x14ac:dyDescent="0.3">
      <c r="A96" s="4" t="s">
        <v>106</v>
      </c>
      <c r="B96" s="5" t="s">
        <v>115</v>
      </c>
      <c r="C96" s="5" t="s">
        <v>19</v>
      </c>
      <c r="D96" s="5">
        <v>10</v>
      </c>
      <c r="E96" s="5">
        <v>0</v>
      </c>
      <c r="F96" s="5">
        <v>14</v>
      </c>
      <c r="G96" s="6">
        <v>2</v>
      </c>
      <c r="H96" s="6">
        <v>16.7</v>
      </c>
    </row>
    <row r="97" spans="1:8" ht="15.6" x14ac:dyDescent="0.3">
      <c r="A97" s="4" t="s">
        <v>106</v>
      </c>
      <c r="B97" s="5" t="s">
        <v>116</v>
      </c>
      <c r="C97" s="5" t="s">
        <v>9</v>
      </c>
      <c r="D97" s="5">
        <v>5</v>
      </c>
      <c r="E97" s="5">
        <v>1</v>
      </c>
      <c r="F97" s="5">
        <v>102</v>
      </c>
      <c r="G97" s="6">
        <v>4</v>
      </c>
      <c r="H97" s="6">
        <v>24.1</v>
      </c>
    </row>
    <row r="98" spans="1:8" ht="15.6" x14ac:dyDescent="0.3">
      <c r="A98" s="4" t="s">
        <v>117</v>
      </c>
      <c r="B98" s="5" t="s">
        <v>118</v>
      </c>
      <c r="C98" s="5" t="s">
        <v>21</v>
      </c>
      <c r="D98" s="5">
        <v>19</v>
      </c>
      <c r="E98" s="5">
        <v>2</v>
      </c>
      <c r="F98" s="5">
        <v>75</v>
      </c>
      <c r="G98" s="6">
        <v>3</v>
      </c>
      <c r="H98" s="6">
        <v>35.75</v>
      </c>
    </row>
    <row r="99" spans="1:8" ht="15.6" x14ac:dyDescent="0.3">
      <c r="A99" s="4" t="s">
        <v>119</v>
      </c>
      <c r="B99" s="5" t="s">
        <v>120</v>
      </c>
      <c r="C99" s="5" t="s">
        <v>19</v>
      </c>
      <c r="D99" s="5">
        <v>29</v>
      </c>
      <c r="E99" s="5">
        <v>0</v>
      </c>
      <c r="F99" s="5">
        <v>95</v>
      </c>
      <c r="G99" s="6">
        <v>5</v>
      </c>
      <c r="H99" s="6">
        <v>48.75</v>
      </c>
    </row>
    <row r="100" spans="1:8" ht="15.6" x14ac:dyDescent="0.3">
      <c r="A100" s="4" t="s">
        <v>119</v>
      </c>
      <c r="B100" s="5" t="s">
        <v>121</v>
      </c>
      <c r="C100" s="5" t="s">
        <v>21</v>
      </c>
      <c r="D100" s="5">
        <v>30</v>
      </c>
      <c r="E100" s="5">
        <v>10</v>
      </c>
      <c r="F100" s="5">
        <v>104</v>
      </c>
      <c r="G100" s="6">
        <v>1</v>
      </c>
      <c r="H100" s="6">
        <v>58.2</v>
      </c>
    </row>
    <row r="101" spans="1:8" ht="15.6" x14ac:dyDescent="0.3">
      <c r="A101" s="4" t="s">
        <v>119</v>
      </c>
      <c r="B101" s="5" t="s">
        <v>122</v>
      </c>
      <c r="C101" s="5" t="s">
        <v>9</v>
      </c>
      <c r="D101" s="5">
        <v>13</v>
      </c>
      <c r="E101" s="5">
        <v>9</v>
      </c>
      <c r="F101" s="5">
        <v>106</v>
      </c>
      <c r="G101" s="6">
        <v>1</v>
      </c>
      <c r="H101" s="6">
        <v>39.299999999999997</v>
      </c>
    </row>
    <row r="102" spans="1:8" ht="15.6" x14ac:dyDescent="0.3">
      <c r="A102" s="4" t="s">
        <v>119</v>
      </c>
      <c r="B102" s="5" t="s">
        <v>123</v>
      </c>
      <c r="C102" s="5" t="s">
        <v>19</v>
      </c>
      <c r="D102" s="5">
        <v>28</v>
      </c>
      <c r="E102" s="5">
        <v>6</v>
      </c>
      <c r="F102" s="5">
        <v>95</v>
      </c>
      <c r="G102" s="6">
        <v>3</v>
      </c>
      <c r="H102" s="6">
        <v>53.75</v>
      </c>
    </row>
    <row r="103" spans="1:8" ht="15.6" x14ac:dyDescent="0.3">
      <c r="A103" s="4" t="s">
        <v>119</v>
      </c>
      <c r="B103" s="5" t="s">
        <v>124</v>
      </c>
      <c r="C103" s="5" t="s">
        <v>23</v>
      </c>
      <c r="D103" s="5">
        <v>30</v>
      </c>
      <c r="E103" s="5">
        <v>7</v>
      </c>
      <c r="F103" s="5">
        <v>72</v>
      </c>
      <c r="G103" s="6">
        <v>0</v>
      </c>
      <c r="H103" s="6">
        <v>47.6</v>
      </c>
    </row>
    <row r="104" spans="1:8" ht="15.6" x14ac:dyDescent="0.3">
      <c r="A104" s="4" t="s">
        <v>119</v>
      </c>
      <c r="B104" s="5" t="s">
        <v>125</v>
      </c>
      <c r="C104" s="5" t="s">
        <v>15</v>
      </c>
      <c r="D104" s="5">
        <v>10</v>
      </c>
      <c r="E104" s="5">
        <v>10</v>
      </c>
      <c r="F104" s="5">
        <v>101</v>
      </c>
      <c r="G104" s="6">
        <v>3</v>
      </c>
      <c r="H104" s="6">
        <v>44.05</v>
      </c>
    </row>
    <row r="105" spans="1:8" ht="15.6" x14ac:dyDescent="0.3">
      <c r="A105" s="4" t="s">
        <v>119</v>
      </c>
      <c r="B105" s="5" t="s">
        <v>126</v>
      </c>
      <c r="C105" s="5" t="s">
        <v>19</v>
      </c>
      <c r="D105" s="5">
        <v>37</v>
      </c>
      <c r="E105" s="5">
        <v>9</v>
      </c>
      <c r="F105" s="5">
        <v>20</v>
      </c>
      <c r="G105" s="6">
        <v>1</v>
      </c>
      <c r="H105" s="6">
        <v>59</v>
      </c>
    </row>
    <row r="106" spans="1:8" ht="15.6" x14ac:dyDescent="0.3">
      <c r="A106" s="4" t="s">
        <v>119</v>
      </c>
      <c r="B106" s="5" t="s">
        <v>127</v>
      </c>
      <c r="C106" s="5" t="s">
        <v>19</v>
      </c>
      <c r="D106" s="5">
        <v>21</v>
      </c>
      <c r="E106" s="5">
        <v>5</v>
      </c>
      <c r="F106" s="5">
        <v>25</v>
      </c>
      <c r="G106" s="6">
        <v>3</v>
      </c>
      <c r="H106" s="6">
        <v>41.25</v>
      </c>
    </row>
    <row r="107" spans="1:8" ht="15.6" x14ac:dyDescent="0.3">
      <c r="A107" s="4" t="s">
        <v>128</v>
      </c>
      <c r="B107" s="5" t="s">
        <v>129</v>
      </c>
      <c r="C107" s="5" t="s">
        <v>21</v>
      </c>
      <c r="D107" s="5">
        <v>10</v>
      </c>
      <c r="E107" s="5">
        <v>9</v>
      </c>
      <c r="F107" s="5">
        <v>117</v>
      </c>
      <c r="G107" s="6">
        <v>4</v>
      </c>
      <c r="H107" s="6">
        <v>45.85</v>
      </c>
    </row>
    <row r="108" spans="1:8" ht="15.6" x14ac:dyDescent="0.3">
      <c r="A108" s="4" t="s">
        <v>128</v>
      </c>
      <c r="B108" s="5" t="s">
        <v>130</v>
      </c>
      <c r="C108" s="5" t="s">
        <v>21</v>
      </c>
      <c r="D108" s="5">
        <v>17</v>
      </c>
      <c r="E108" s="5">
        <v>4</v>
      </c>
      <c r="F108" s="5">
        <v>5</v>
      </c>
      <c r="G108" s="6">
        <v>0</v>
      </c>
      <c r="H108" s="6">
        <v>25.25</v>
      </c>
    </row>
    <row r="109" spans="1:8" ht="15.6" x14ac:dyDescent="0.3">
      <c r="A109" s="4" t="s">
        <v>128</v>
      </c>
      <c r="B109" s="5" t="s">
        <v>131</v>
      </c>
      <c r="C109" s="5" t="s">
        <v>19</v>
      </c>
      <c r="D109" s="5">
        <v>46</v>
      </c>
      <c r="E109" s="5">
        <v>10</v>
      </c>
      <c r="F109" s="5">
        <v>67</v>
      </c>
      <c r="G109" s="6">
        <v>5</v>
      </c>
      <c r="H109" s="6">
        <v>84.35</v>
      </c>
    </row>
    <row r="110" spans="1:8" ht="15.6" x14ac:dyDescent="0.3">
      <c r="A110" s="4" t="s">
        <v>128</v>
      </c>
      <c r="B110" s="5" t="s">
        <v>132</v>
      </c>
      <c r="C110" s="5" t="s">
        <v>9</v>
      </c>
      <c r="D110" s="5">
        <v>48</v>
      </c>
      <c r="E110" s="5">
        <v>5</v>
      </c>
      <c r="F110" s="5">
        <v>77</v>
      </c>
      <c r="G110" s="6">
        <v>0</v>
      </c>
      <c r="H110" s="6">
        <v>61.85</v>
      </c>
    </row>
    <row r="111" spans="1:8" ht="15.6" x14ac:dyDescent="0.3">
      <c r="A111" s="4" t="s">
        <v>128</v>
      </c>
      <c r="B111" s="5" t="s">
        <v>133</v>
      </c>
      <c r="C111" s="5" t="s">
        <v>21</v>
      </c>
      <c r="D111" s="5">
        <v>50</v>
      </c>
      <c r="E111" s="5">
        <v>1</v>
      </c>
      <c r="F111" s="5">
        <v>20</v>
      </c>
      <c r="G111" s="6">
        <v>4</v>
      </c>
      <c r="H111" s="6">
        <v>65</v>
      </c>
    </row>
    <row r="112" spans="1:8" ht="15.6" x14ac:dyDescent="0.3">
      <c r="A112" s="4" t="s">
        <v>128</v>
      </c>
      <c r="B112" s="5" t="s">
        <v>134</v>
      </c>
      <c r="C112" s="5" t="s">
        <v>23</v>
      </c>
      <c r="D112" s="5">
        <v>45</v>
      </c>
      <c r="E112" s="5">
        <v>0</v>
      </c>
      <c r="F112" s="5">
        <v>17</v>
      </c>
      <c r="G112" s="6">
        <v>1</v>
      </c>
      <c r="H112" s="6">
        <v>48.85</v>
      </c>
    </row>
    <row r="113" spans="1:8" ht="15.6" x14ac:dyDescent="0.3">
      <c r="A113" s="4" t="s">
        <v>128</v>
      </c>
      <c r="B113" s="5" t="s">
        <v>135</v>
      </c>
      <c r="C113" s="5" t="s">
        <v>9</v>
      </c>
      <c r="D113" s="5">
        <v>26</v>
      </c>
      <c r="E113" s="5">
        <v>5</v>
      </c>
      <c r="F113" s="5">
        <v>23</v>
      </c>
      <c r="G113" s="6">
        <v>5</v>
      </c>
      <c r="H113" s="6">
        <v>52.15</v>
      </c>
    </row>
    <row r="114" spans="1:8" ht="15.6" x14ac:dyDescent="0.3">
      <c r="A114" s="4" t="s">
        <v>128</v>
      </c>
      <c r="B114" s="5" t="s">
        <v>136</v>
      </c>
      <c r="C114" s="5" t="s">
        <v>23</v>
      </c>
      <c r="D114" s="5">
        <v>35</v>
      </c>
      <c r="E114" s="5">
        <v>5</v>
      </c>
      <c r="F114" s="5">
        <v>2</v>
      </c>
      <c r="G114" s="6">
        <v>3</v>
      </c>
      <c r="H114" s="6">
        <v>54.1</v>
      </c>
    </row>
    <row r="115" spans="1:8" ht="15.6" x14ac:dyDescent="0.3">
      <c r="A115" s="4" t="s">
        <v>128</v>
      </c>
      <c r="B115" s="5" t="s">
        <v>137</v>
      </c>
      <c r="C115" s="5" t="s">
        <v>19</v>
      </c>
      <c r="D115" s="5">
        <v>46</v>
      </c>
      <c r="E115" s="5">
        <v>9</v>
      </c>
      <c r="F115" s="5">
        <v>43</v>
      </c>
      <c r="G115" s="6">
        <v>4</v>
      </c>
      <c r="H115" s="6">
        <v>78.150000000000006</v>
      </c>
    </row>
    <row r="116" spans="1:8" ht="15.6" x14ac:dyDescent="0.3">
      <c r="A116" s="4" t="s">
        <v>138</v>
      </c>
      <c r="B116" s="5" t="s">
        <v>139</v>
      </c>
      <c r="C116" s="5" t="s">
        <v>15</v>
      </c>
      <c r="D116" s="5">
        <v>41</v>
      </c>
      <c r="E116" s="5">
        <v>5</v>
      </c>
      <c r="F116" s="5">
        <v>42</v>
      </c>
      <c r="G116" s="6">
        <v>4</v>
      </c>
      <c r="H116" s="6">
        <v>65.099999999999994</v>
      </c>
    </row>
    <row r="117" spans="1:8" ht="15.6" x14ac:dyDescent="0.3">
      <c r="A117" s="4" t="s">
        <v>138</v>
      </c>
      <c r="B117" s="5" t="s">
        <v>140</v>
      </c>
      <c r="C117" s="5" t="s">
        <v>19</v>
      </c>
      <c r="D117" s="5">
        <v>3</v>
      </c>
      <c r="E117" s="5">
        <v>2</v>
      </c>
      <c r="F117" s="5">
        <v>83</v>
      </c>
      <c r="G117" s="6">
        <v>1</v>
      </c>
      <c r="H117" s="6">
        <v>14.15</v>
      </c>
    </row>
    <row r="118" spans="1:8" ht="15.6" x14ac:dyDescent="0.3">
      <c r="A118" s="4" t="s">
        <v>138</v>
      </c>
      <c r="B118" s="5" t="s">
        <v>141</v>
      </c>
      <c r="C118" s="5" t="s">
        <v>21</v>
      </c>
      <c r="D118" s="5">
        <v>44</v>
      </c>
      <c r="E118" s="5">
        <v>10</v>
      </c>
      <c r="F118" s="5">
        <v>64</v>
      </c>
      <c r="G118" s="6">
        <v>3</v>
      </c>
      <c r="H118" s="6">
        <v>76.2</v>
      </c>
    </row>
    <row r="119" spans="1:8" ht="15.6" x14ac:dyDescent="0.3">
      <c r="A119" s="4" t="s">
        <v>138</v>
      </c>
      <c r="B119" s="5" t="s">
        <v>142</v>
      </c>
      <c r="C119" s="5" t="s">
        <v>19</v>
      </c>
      <c r="D119" s="5">
        <v>8</v>
      </c>
      <c r="E119" s="5">
        <v>5</v>
      </c>
      <c r="F119" s="5">
        <v>36</v>
      </c>
      <c r="G119" s="6">
        <v>4</v>
      </c>
      <c r="H119" s="6">
        <v>31.8</v>
      </c>
    </row>
    <row r="120" spans="1:8" ht="15.6" x14ac:dyDescent="0.3">
      <c r="A120" s="4" t="s">
        <v>138</v>
      </c>
      <c r="B120" s="5" t="s">
        <v>143</v>
      </c>
      <c r="C120" s="5" t="s">
        <v>12</v>
      </c>
      <c r="D120" s="5">
        <v>33</v>
      </c>
      <c r="E120" s="5">
        <v>6</v>
      </c>
      <c r="F120" s="5">
        <v>63</v>
      </c>
      <c r="G120" s="6">
        <v>4</v>
      </c>
      <c r="H120" s="6">
        <v>60.15</v>
      </c>
    </row>
    <row r="121" spans="1:8" ht="15.6" x14ac:dyDescent="0.3">
      <c r="A121" s="4" t="s">
        <v>144</v>
      </c>
      <c r="B121" s="5" t="s">
        <v>145</v>
      </c>
      <c r="C121" s="5" t="s">
        <v>23</v>
      </c>
      <c r="D121" s="5">
        <v>19</v>
      </c>
      <c r="E121" s="5">
        <v>2</v>
      </c>
      <c r="F121" s="5">
        <v>118</v>
      </c>
      <c r="G121" s="6">
        <v>5</v>
      </c>
      <c r="H121" s="6">
        <v>43.9</v>
      </c>
    </row>
    <row r="122" spans="1:8" ht="15.6" x14ac:dyDescent="0.3">
      <c r="A122" s="4" t="s">
        <v>144</v>
      </c>
      <c r="B122" s="5" t="s">
        <v>146</v>
      </c>
      <c r="C122" s="5" t="s">
        <v>15</v>
      </c>
      <c r="D122" s="5">
        <v>12</v>
      </c>
      <c r="E122" s="5">
        <v>9</v>
      </c>
      <c r="F122" s="5">
        <v>88</v>
      </c>
      <c r="G122" s="6">
        <v>5</v>
      </c>
      <c r="H122" s="6">
        <v>49.4</v>
      </c>
    </row>
    <row r="123" spans="1:8" ht="15.6" x14ac:dyDescent="0.3">
      <c r="A123" s="4" t="s">
        <v>144</v>
      </c>
      <c r="B123" s="5" t="s">
        <v>147</v>
      </c>
      <c r="C123" s="5" t="s">
        <v>19</v>
      </c>
      <c r="D123" s="5">
        <v>36</v>
      </c>
      <c r="E123" s="5">
        <v>1</v>
      </c>
      <c r="F123" s="5">
        <v>35</v>
      </c>
      <c r="G123" s="6">
        <v>1</v>
      </c>
      <c r="H123" s="6">
        <v>42.75</v>
      </c>
    </row>
    <row r="124" spans="1:8" ht="15.6" x14ac:dyDescent="0.3">
      <c r="A124" s="4" t="s">
        <v>144</v>
      </c>
      <c r="B124" s="5" t="s">
        <v>148</v>
      </c>
      <c r="C124" s="5" t="s">
        <v>21</v>
      </c>
      <c r="D124" s="5">
        <v>14</v>
      </c>
      <c r="E124" s="5">
        <v>6</v>
      </c>
      <c r="F124" s="5">
        <v>10</v>
      </c>
      <c r="G124" s="6">
        <v>5</v>
      </c>
      <c r="H124" s="6">
        <v>41.5</v>
      </c>
    </row>
    <row r="125" spans="1:8" ht="15.6" x14ac:dyDescent="0.3">
      <c r="A125" s="4" t="s">
        <v>144</v>
      </c>
      <c r="B125" s="5" t="s">
        <v>149</v>
      </c>
      <c r="C125" s="5" t="s">
        <v>15</v>
      </c>
      <c r="D125" s="5">
        <v>1</v>
      </c>
      <c r="E125" s="5">
        <v>8</v>
      </c>
      <c r="F125" s="5">
        <v>116</v>
      </c>
      <c r="G125" s="6">
        <v>4</v>
      </c>
      <c r="H125" s="6">
        <v>34.799999999999997</v>
      </c>
    </row>
    <row r="126" spans="1:8" ht="15.6" x14ac:dyDescent="0.3">
      <c r="A126" s="4" t="s">
        <v>144</v>
      </c>
      <c r="B126" s="5" t="s">
        <v>150</v>
      </c>
      <c r="C126" s="5" t="s">
        <v>21</v>
      </c>
      <c r="D126" s="5">
        <v>38</v>
      </c>
      <c r="E126" s="5">
        <v>8</v>
      </c>
      <c r="F126" s="5">
        <v>50</v>
      </c>
      <c r="G126" s="6">
        <v>4</v>
      </c>
      <c r="H126" s="6">
        <v>68.5</v>
      </c>
    </row>
    <row r="127" spans="1:8" ht="15.6" x14ac:dyDescent="0.3">
      <c r="A127" s="4" t="s">
        <v>144</v>
      </c>
      <c r="B127" s="5" t="s">
        <v>151</v>
      </c>
      <c r="C127" s="5" t="s">
        <v>15</v>
      </c>
      <c r="D127" s="5">
        <v>13</v>
      </c>
      <c r="E127" s="5">
        <v>1</v>
      </c>
      <c r="F127" s="5">
        <v>79</v>
      </c>
      <c r="G127" s="6">
        <v>5</v>
      </c>
      <c r="H127" s="6">
        <v>33.950000000000003</v>
      </c>
    </row>
    <row r="128" spans="1:8" ht="15.6" x14ac:dyDescent="0.3">
      <c r="A128" s="4" t="s">
        <v>144</v>
      </c>
      <c r="B128" s="5" t="s">
        <v>152</v>
      </c>
      <c r="C128" s="5" t="s">
        <v>9</v>
      </c>
      <c r="D128" s="5">
        <v>29</v>
      </c>
      <c r="E128" s="5">
        <v>0</v>
      </c>
      <c r="F128" s="5">
        <v>88</v>
      </c>
      <c r="G128" s="6">
        <v>2</v>
      </c>
      <c r="H128" s="6">
        <v>39.4</v>
      </c>
    </row>
    <row r="129" spans="1:8" ht="15.6" x14ac:dyDescent="0.3">
      <c r="A129" s="4" t="s">
        <v>144</v>
      </c>
      <c r="B129" s="5" t="s">
        <v>153</v>
      </c>
      <c r="C129" s="5" t="s">
        <v>9</v>
      </c>
      <c r="D129" s="5">
        <v>39</v>
      </c>
      <c r="E129" s="5">
        <v>9</v>
      </c>
      <c r="F129" s="5">
        <v>102</v>
      </c>
      <c r="G129" s="6">
        <v>2</v>
      </c>
      <c r="H129" s="6">
        <v>68.099999999999994</v>
      </c>
    </row>
    <row r="130" spans="1:8" ht="15.6" x14ac:dyDescent="0.3">
      <c r="A130" s="4" t="s">
        <v>154</v>
      </c>
      <c r="B130" s="5" t="s">
        <v>155</v>
      </c>
      <c r="C130" s="5" t="s">
        <v>9</v>
      </c>
      <c r="D130" s="5">
        <v>20</v>
      </c>
      <c r="E130" s="5">
        <v>9</v>
      </c>
      <c r="F130" s="5">
        <v>107</v>
      </c>
      <c r="G130" s="6">
        <v>2</v>
      </c>
      <c r="H130" s="6">
        <v>49.35</v>
      </c>
    </row>
    <row r="131" spans="1:8" ht="15.6" x14ac:dyDescent="0.3">
      <c r="A131" s="4" t="s">
        <v>154</v>
      </c>
      <c r="B131" s="5" t="s">
        <v>156</v>
      </c>
      <c r="C131" s="5" t="s">
        <v>12</v>
      </c>
      <c r="D131" s="5">
        <v>14</v>
      </c>
      <c r="E131" s="5">
        <v>1</v>
      </c>
      <c r="F131" s="5">
        <v>98</v>
      </c>
      <c r="G131" s="6">
        <v>3</v>
      </c>
      <c r="H131" s="6">
        <v>29.9</v>
      </c>
    </row>
    <row r="132" spans="1:8" ht="15.6" x14ac:dyDescent="0.3">
      <c r="A132" s="4" t="s">
        <v>154</v>
      </c>
      <c r="B132" s="5" t="s">
        <v>157</v>
      </c>
      <c r="C132" s="5" t="s">
        <v>9</v>
      </c>
      <c r="D132" s="5">
        <v>8</v>
      </c>
      <c r="E132" s="5">
        <v>1</v>
      </c>
      <c r="F132" s="5">
        <v>46</v>
      </c>
      <c r="G132" s="6">
        <v>5</v>
      </c>
      <c r="H132" s="6">
        <v>27.3</v>
      </c>
    </row>
    <row r="133" spans="1:8" ht="15.6" x14ac:dyDescent="0.3">
      <c r="A133" s="4" t="s">
        <v>154</v>
      </c>
      <c r="B133" s="5" t="s">
        <v>158</v>
      </c>
      <c r="C133" s="5" t="s">
        <v>23</v>
      </c>
      <c r="D133" s="5">
        <v>11</v>
      </c>
      <c r="E133" s="5">
        <v>9</v>
      </c>
      <c r="F133" s="5">
        <v>19</v>
      </c>
      <c r="G133" s="6">
        <v>5</v>
      </c>
      <c r="H133" s="6">
        <v>44.95</v>
      </c>
    </row>
    <row r="134" spans="1:8" ht="15.6" x14ac:dyDescent="0.3">
      <c r="A134" s="4" t="s">
        <v>154</v>
      </c>
      <c r="B134" s="5" t="s">
        <v>159</v>
      </c>
      <c r="C134" s="5" t="s">
        <v>23</v>
      </c>
      <c r="D134" s="5">
        <v>2</v>
      </c>
      <c r="E134" s="5">
        <v>9</v>
      </c>
      <c r="F134" s="5">
        <v>19</v>
      </c>
      <c r="G134" s="6">
        <v>4</v>
      </c>
      <c r="H134" s="6">
        <v>32.950000000000003</v>
      </c>
    </row>
    <row r="135" spans="1:8" ht="15.6" x14ac:dyDescent="0.3">
      <c r="A135" s="4" t="s">
        <v>154</v>
      </c>
      <c r="B135" s="5" t="s">
        <v>160</v>
      </c>
      <c r="C135" s="5" t="s">
        <v>19</v>
      </c>
      <c r="D135" s="5">
        <v>6</v>
      </c>
      <c r="E135" s="5">
        <v>4</v>
      </c>
      <c r="F135" s="5">
        <v>52</v>
      </c>
      <c r="G135" s="6">
        <v>5</v>
      </c>
      <c r="H135" s="6">
        <v>31.6</v>
      </c>
    </row>
    <row r="136" spans="1:8" ht="15.6" x14ac:dyDescent="0.3">
      <c r="A136" s="4" t="s">
        <v>154</v>
      </c>
      <c r="B136" s="5" t="s">
        <v>161</v>
      </c>
      <c r="C136" s="5" t="s">
        <v>23</v>
      </c>
      <c r="D136" s="5">
        <v>32</v>
      </c>
      <c r="E136" s="5">
        <v>7</v>
      </c>
      <c r="F136" s="5">
        <v>49</v>
      </c>
      <c r="G136" s="6">
        <v>2</v>
      </c>
      <c r="H136" s="6">
        <v>54.45</v>
      </c>
    </row>
    <row r="137" spans="1:8" ht="15.6" x14ac:dyDescent="0.3">
      <c r="A137" s="4" t="s">
        <v>154</v>
      </c>
      <c r="B137" s="5" t="s">
        <v>162</v>
      </c>
      <c r="C137" s="5" t="s">
        <v>23</v>
      </c>
      <c r="D137" s="5">
        <v>10</v>
      </c>
      <c r="E137" s="5">
        <v>3</v>
      </c>
      <c r="F137" s="5">
        <v>103</v>
      </c>
      <c r="G137" s="6">
        <v>3</v>
      </c>
      <c r="H137" s="6">
        <v>30.15</v>
      </c>
    </row>
    <row r="138" spans="1:8" ht="15.6" x14ac:dyDescent="0.3">
      <c r="A138" s="4" t="s">
        <v>154</v>
      </c>
      <c r="B138" s="5" t="s">
        <v>163</v>
      </c>
      <c r="C138" s="5" t="s">
        <v>19</v>
      </c>
      <c r="D138" s="5">
        <v>31</v>
      </c>
      <c r="E138" s="5">
        <v>0</v>
      </c>
      <c r="F138" s="5">
        <v>35</v>
      </c>
      <c r="G138" s="6">
        <v>2</v>
      </c>
      <c r="H138" s="6">
        <v>38.75</v>
      </c>
    </row>
    <row r="139" spans="1:8" ht="15.6" x14ac:dyDescent="0.3">
      <c r="A139" s="4" t="s">
        <v>154</v>
      </c>
      <c r="B139" s="5" t="s">
        <v>164</v>
      </c>
      <c r="C139" s="5" t="s">
        <v>9</v>
      </c>
      <c r="D139" s="5">
        <v>21</v>
      </c>
      <c r="E139" s="5">
        <v>6</v>
      </c>
      <c r="F139" s="5">
        <v>20</v>
      </c>
      <c r="G139" s="6">
        <v>5</v>
      </c>
      <c r="H139" s="6">
        <v>49</v>
      </c>
    </row>
    <row r="140" spans="1:8" ht="15.6" x14ac:dyDescent="0.3">
      <c r="A140" s="4" t="s">
        <v>165</v>
      </c>
      <c r="B140" s="5" t="s">
        <v>166</v>
      </c>
      <c r="C140" s="5" t="s">
        <v>12</v>
      </c>
      <c r="D140" s="5">
        <v>1</v>
      </c>
      <c r="E140" s="5">
        <v>5</v>
      </c>
      <c r="F140" s="5">
        <v>96</v>
      </c>
      <c r="G140" s="6">
        <v>3</v>
      </c>
      <c r="H140" s="6">
        <v>24.8</v>
      </c>
    </row>
    <row r="141" spans="1:8" ht="15.6" x14ac:dyDescent="0.3">
      <c r="A141" s="4" t="s">
        <v>165</v>
      </c>
      <c r="B141" s="5" t="s">
        <v>167</v>
      </c>
      <c r="C141" s="5" t="s">
        <v>19</v>
      </c>
      <c r="D141" s="5">
        <v>29</v>
      </c>
      <c r="E141" s="5">
        <v>9</v>
      </c>
      <c r="F141" s="5">
        <v>13</v>
      </c>
      <c r="G141" s="6">
        <v>4</v>
      </c>
      <c r="H141" s="6">
        <v>59.65</v>
      </c>
    </row>
    <row r="142" spans="1:8" ht="15.6" x14ac:dyDescent="0.3">
      <c r="A142" s="4" t="s">
        <v>165</v>
      </c>
      <c r="B142" s="5" t="s">
        <v>168</v>
      </c>
      <c r="C142" s="5" t="s">
        <v>15</v>
      </c>
      <c r="D142" s="5">
        <v>0</v>
      </c>
      <c r="E142" s="5">
        <v>5</v>
      </c>
      <c r="F142" s="5">
        <v>3</v>
      </c>
      <c r="G142" s="6">
        <v>3</v>
      </c>
      <c r="H142" s="6">
        <v>19.149999999999999</v>
      </c>
    </row>
    <row r="143" spans="1:8" ht="15.6" x14ac:dyDescent="0.3">
      <c r="A143" s="4" t="s">
        <v>165</v>
      </c>
      <c r="B143" s="5" t="s">
        <v>169</v>
      </c>
      <c r="C143" s="5" t="s">
        <v>9</v>
      </c>
      <c r="D143" s="5">
        <v>25</v>
      </c>
      <c r="E143" s="5">
        <v>0</v>
      </c>
      <c r="F143" s="5">
        <v>97</v>
      </c>
      <c r="G143" s="6">
        <v>0</v>
      </c>
      <c r="H143" s="6">
        <v>29.85</v>
      </c>
    </row>
    <row r="144" spans="1:8" ht="15.6" x14ac:dyDescent="0.3">
      <c r="A144" s="4" t="s">
        <v>165</v>
      </c>
      <c r="B144" s="5" t="s">
        <v>170</v>
      </c>
      <c r="C144" s="5" t="s">
        <v>23</v>
      </c>
      <c r="D144" s="5">
        <v>50</v>
      </c>
      <c r="E144" s="5">
        <v>0</v>
      </c>
      <c r="F144" s="5">
        <v>43</v>
      </c>
      <c r="G144" s="6">
        <v>0</v>
      </c>
      <c r="H144" s="6">
        <v>52.15</v>
      </c>
    </row>
    <row r="145" spans="1:8" ht="15.6" x14ac:dyDescent="0.3">
      <c r="A145" s="4" t="s">
        <v>165</v>
      </c>
      <c r="B145" s="5" t="s">
        <v>171</v>
      </c>
      <c r="C145" s="5" t="s">
        <v>12</v>
      </c>
      <c r="D145" s="5">
        <v>6</v>
      </c>
      <c r="E145" s="5">
        <v>3</v>
      </c>
      <c r="F145" s="5">
        <v>47</v>
      </c>
      <c r="G145" s="6">
        <v>0</v>
      </c>
      <c r="H145" s="6">
        <v>14.35</v>
      </c>
    </row>
    <row r="146" spans="1:8" ht="15.6" x14ac:dyDescent="0.3">
      <c r="A146" s="4" t="s">
        <v>165</v>
      </c>
      <c r="B146" s="5" t="s">
        <v>172</v>
      </c>
      <c r="C146" s="5" t="s">
        <v>19</v>
      </c>
      <c r="D146" s="5">
        <v>29</v>
      </c>
      <c r="E146" s="5">
        <v>5</v>
      </c>
      <c r="F146" s="5">
        <v>42</v>
      </c>
      <c r="G146" s="6">
        <v>0</v>
      </c>
      <c r="H146" s="6">
        <v>41.1</v>
      </c>
    </row>
    <row r="147" spans="1:8" ht="15.6" x14ac:dyDescent="0.3">
      <c r="A147" s="4" t="s">
        <v>165</v>
      </c>
      <c r="B147" s="5" t="s">
        <v>173</v>
      </c>
      <c r="C147" s="5" t="s">
        <v>15</v>
      </c>
      <c r="D147" s="5">
        <v>9</v>
      </c>
      <c r="E147" s="5">
        <v>1</v>
      </c>
      <c r="F147" s="5">
        <v>73</v>
      </c>
      <c r="G147" s="6">
        <v>3</v>
      </c>
      <c r="H147" s="6">
        <v>23.65</v>
      </c>
    </row>
    <row r="148" spans="1:8" ht="15.6" x14ac:dyDescent="0.3">
      <c r="A148" s="4" t="s">
        <v>165</v>
      </c>
      <c r="B148" s="5" t="s">
        <v>174</v>
      </c>
      <c r="C148" s="5" t="s">
        <v>23</v>
      </c>
      <c r="D148" s="5">
        <v>37</v>
      </c>
      <c r="E148" s="5">
        <v>10</v>
      </c>
      <c r="F148" s="5">
        <v>1</v>
      </c>
      <c r="G148" s="6">
        <v>2</v>
      </c>
      <c r="H148" s="6">
        <v>63.05</v>
      </c>
    </row>
    <row r="149" spans="1:8" ht="15.6" x14ac:dyDescent="0.3">
      <c r="A149" s="4" t="s">
        <v>165</v>
      </c>
      <c r="B149" s="5" t="s">
        <v>175</v>
      </c>
      <c r="C149" s="5" t="s">
        <v>15</v>
      </c>
      <c r="D149" s="5">
        <v>27</v>
      </c>
      <c r="E149" s="5">
        <v>6</v>
      </c>
      <c r="F149" s="5">
        <v>109</v>
      </c>
      <c r="G149" s="6">
        <v>3</v>
      </c>
      <c r="H149" s="6">
        <v>53.45</v>
      </c>
    </row>
    <row r="150" spans="1:8" ht="15.6" x14ac:dyDescent="0.3">
      <c r="A150" s="4" t="s">
        <v>165</v>
      </c>
      <c r="B150" s="5" t="s">
        <v>176</v>
      </c>
      <c r="C150" s="5" t="s">
        <v>9</v>
      </c>
      <c r="D150" s="5">
        <v>25</v>
      </c>
      <c r="E150" s="5">
        <v>7</v>
      </c>
      <c r="F150" s="5">
        <v>7</v>
      </c>
      <c r="G150" s="6">
        <v>5</v>
      </c>
      <c r="H150" s="6">
        <v>54.35</v>
      </c>
    </row>
    <row r="151" spans="1:8" ht="15.6" x14ac:dyDescent="0.3">
      <c r="A151" s="4" t="s">
        <v>165</v>
      </c>
      <c r="B151" s="5" t="s">
        <v>177</v>
      </c>
      <c r="C151" s="5" t="s">
        <v>23</v>
      </c>
      <c r="D151" s="5">
        <v>23</v>
      </c>
      <c r="E151" s="5">
        <v>7</v>
      </c>
      <c r="F151" s="5">
        <v>26</v>
      </c>
      <c r="G151" s="6">
        <v>3</v>
      </c>
      <c r="H151" s="6">
        <v>47.3</v>
      </c>
    </row>
    <row r="152" spans="1:8" ht="15.6" x14ac:dyDescent="0.3">
      <c r="A152" s="4" t="s">
        <v>178</v>
      </c>
      <c r="B152" s="5" t="s">
        <v>179</v>
      </c>
      <c r="C152" s="5" t="s">
        <v>12</v>
      </c>
      <c r="D152" s="5">
        <v>42</v>
      </c>
      <c r="E152" s="5">
        <v>8</v>
      </c>
      <c r="F152" s="5">
        <v>83</v>
      </c>
      <c r="G152" s="6">
        <v>3</v>
      </c>
      <c r="H152" s="6">
        <v>71.150000000000006</v>
      </c>
    </row>
    <row r="153" spans="1:8" ht="15.6" x14ac:dyDescent="0.3">
      <c r="A153" s="4" t="s">
        <v>178</v>
      </c>
      <c r="B153" s="5" t="s">
        <v>180</v>
      </c>
      <c r="C153" s="5" t="s">
        <v>12</v>
      </c>
      <c r="D153" s="5">
        <v>29</v>
      </c>
      <c r="E153" s="5">
        <v>1</v>
      </c>
      <c r="F153" s="5">
        <v>36</v>
      </c>
      <c r="G153" s="6">
        <v>2</v>
      </c>
      <c r="H153" s="6">
        <v>38.799999999999997</v>
      </c>
    </row>
    <row r="154" spans="1:8" ht="15.6" x14ac:dyDescent="0.3">
      <c r="A154" s="4" t="s">
        <v>178</v>
      </c>
      <c r="B154" s="5" t="s">
        <v>181</v>
      </c>
      <c r="C154" s="5" t="s">
        <v>21</v>
      </c>
      <c r="D154" s="5">
        <v>39</v>
      </c>
      <c r="E154" s="5">
        <v>7</v>
      </c>
      <c r="F154" s="5">
        <v>52</v>
      </c>
      <c r="G154" s="6">
        <v>4</v>
      </c>
      <c r="H154" s="6">
        <v>67.599999999999994</v>
      </c>
    </row>
    <row r="155" spans="1:8" ht="15.6" x14ac:dyDescent="0.3">
      <c r="A155" s="4" t="s">
        <v>178</v>
      </c>
      <c r="B155" s="5" t="s">
        <v>182</v>
      </c>
      <c r="C155" s="5" t="s">
        <v>21</v>
      </c>
      <c r="D155" s="5">
        <v>8</v>
      </c>
      <c r="E155" s="5">
        <v>2</v>
      </c>
      <c r="F155" s="5">
        <v>116</v>
      </c>
      <c r="G155" s="6">
        <v>3</v>
      </c>
      <c r="H155" s="6">
        <v>26.8</v>
      </c>
    </row>
    <row r="156" spans="1:8" ht="15.6" x14ac:dyDescent="0.3">
      <c r="A156" s="4" t="s">
        <v>178</v>
      </c>
      <c r="B156" s="5" t="s">
        <v>183</v>
      </c>
      <c r="C156" s="5" t="s">
        <v>12</v>
      </c>
      <c r="D156" s="5">
        <v>49</v>
      </c>
      <c r="E156" s="5">
        <v>6</v>
      </c>
      <c r="F156" s="5">
        <v>50</v>
      </c>
      <c r="G156" s="6">
        <v>5</v>
      </c>
      <c r="H156" s="6">
        <v>78.5</v>
      </c>
    </row>
    <row r="157" spans="1:8" ht="15.6" x14ac:dyDescent="0.3">
      <c r="A157" s="4" t="s">
        <v>178</v>
      </c>
      <c r="B157" s="5" t="s">
        <v>184</v>
      </c>
      <c r="C157" s="5" t="s">
        <v>12</v>
      </c>
      <c r="D157" s="5">
        <v>22</v>
      </c>
      <c r="E157" s="5">
        <v>8</v>
      </c>
      <c r="F157" s="5">
        <v>76</v>
      </c>
      <c r="G157" s="6">
        <v>5</v>
      </c>
      <c r="H157" s="6">
        <v>56.8</v>
      </c>
    </row>
    <row r="158" spans="1:8" ht="15.6" x14ac:dyDescent="0.3">
      <c r="A158" s="4" t="s">
        <v>178</v>
      </c>
      <c r="B158" s="5" t="s">
        <v>185</v>
      </c>
      <c r="C158" s="5" t="s">
        <v>12</v>
      </c>
      <c r="D158" s="5">
        <v>46</v>
      </c>
      <c r="E158" s="5">
        <v>5</v>
      </c>
      <c r="F158" s="5">
        <v>8</v>
      </c>
      <c r="G158" s="6">
        <v>3</v>
      </c>
      <c r="H158" s="6">
        <v>65.400000000000006</v>
      </c>
    </row>
    <row r="159" spans="1:8" ht="15.6" x14ac:dyDescent="0.3">
      <c r="A159" s="4" t="s">
        <v>178</v>
      </c>
      <c r="B159" s="5" t="s">
        <v>186</v>
      </c>
      <c r="C159" s="5" t="s">
        <v>23</v>
      </c>
      <c r="D159" s="5">
        <v>11</v>
      </c>
      <c r="E159" s="5">
        <v>9</v>
      </c>
      <c r="F159" s="5">
        <v>66</v>
      </c>
      <c r="G159" s="6">
        <v>3</v>
      </c>
      <c r="H159" s="6">
        <v>41.3</v>
      </c>
    </row>
    <row r="160" spans="1:8" ht="15.6" x14ac:dyDescent="0.3">
      <c r="A160" s="4" t="s">
        <v>187</v>
      </c>
      <c r="B160" s="5" t="s">
        <v>188</v>
      </c>
      <c r="C160" s="5" t="s">
        <v>19</v>
      </c>
      <c r="D160" s="5">
        <v>25</v>
      </c>
      <c r="E160" s="5">
        <v>6</v>
      </c>
      <c r="F160" s="5">
        <v>13</v>
      </c>
      <c r="G160" s="6">
        <v>3</v>
      </c>
      <c r="H160" s="6">
        <v>46.65</v>
      </c>
    </row>
    <row r="161" spans="1:8" ht="15.6" x14ac:dyDescent="0.3">
      <c r="A161" s="4" t="s">
        <v>187</v>
      </c>
      <c r="B161" s="5" t="s">
        <v>189</v>
      </c>
      <c r="C161" s="5" t="s">
        <v>9</v>
      </c>
      <c r="D161" s="5">
        <v>1</v>
      </c>
      <c r="E161" s="5">
        <v>6</v>
      </c>
      <c r="F161" s="5">
        <v>100</v>
      </c>
      <c r="G161" s="6">
        <v>0</v>
      </c>
      <c r="H161" s="6">
        <v>18</v>
      </c>
    </row>
    <row r="162" spans="1:8" ht="15.6" x14ac:dyDescent="0.3">
      <c r="A162" s="4" t="s">
        <v>187</v>
      </c>
      <c r="B162" s="5" t="s">
        <v>190</v>
      </c>
      <c r="C162" s="5" t="s">
        <v>9</v>
      </c>
      <c r="D162" s="5">
        <v>48</v>
      </c>
      <c r="E162" s="5">
        <v>0</v>
      </c>
      <c r="F162" s="5">
        <v>73</v>
      </c>
      <c r="G162" s="6">
        <v>1</v>
      </c>
      <c r="H162" s="6">
        <v>54.65</v>
      </c>
    </row>
    <row r="163" spans="1:8" ht="15.6" x14ac:dyDescent="0.3">
      <c r="A163" s="4" t="s">
        <v>187</v>
      </c>
      <c r="B163" s="5" t="s">
        <v>191</v>
      </c>
      <c r="C163" s="5" t="s">
        <v>23</v>
      </c>
      <c r="D163" s="5">
        <v>24</v>
      </c>
      <c r="E163" s="5">
        <v>2</v>
      </c>
      <c r="F163" s="5">
        <v>75</v>
      </c>
      <c r="G163" s="6">
        <v>3</v>
      </c>
      <c r="H163" s="6">
        <v>40.75</v>
      </c>
    </row>
    <row r="164" spans="1:8" ht="15.6" x14ac:dyDescent="0.3">
      <c r="A164" s="4" t="s">
        <v>187</v>
      </c>
      <c r="B164" s="5" t="s">
        <v>192</v>
      </c>
      <c r="C164" s="5" t="s">
        <v>23</v>
      </c>
      <c r="D164" s="5">
        <v>29</v>
      </c>
      <c r="E164" s="5">
        <v>2</v>
      </c>
      <c r="F164" s="5">
        <v>86</v>
      </c>
      <c r="G164" s="6">
        <v>1</v>
      </c>
      <c r="H164" s="6">
        <v>40.299999999999997</v>
      </c>
    </row>
    <row r="165" spans="1:8" ht="15.6" x14ac:dyDescent="0.3">
      <c r="A165" s="4" t="s">
        <v>187</v>
      </c>
      <c r="B165" s="5" t="s">
        <v>193</v>
      </c>
      <c r="C165" s="5" t="s">
        <v>23</v>
      </c>
      <c r="D165" s="5">
        <v>48</v>
      </c>
      <c r="E165" s="5">
        <v>6</v>
      </c>
      <c r="F165" s="5">
        <v>45</v>
      </c>
      <c r="G165" s="6">
        <v>3</v>
      </c>
      <c r="H165" s="6">
        <v>71.25</v>
      </c>
    </row>
    <row r="166" spans="1:8" ht="15.6" x14ac:dyDescent="0.3">
      <c r="A166" s="4" t="s">
        <v>187</v>
      </c>
      <c r="B166" s="5" t="s">
        <v>194</v>
      </c>
      <c r="C166" s="5" t="s">
        <v>15</v>
      </c>
      <c r="D166" s="5">
        <v>13</v>
      </c>
      <c r="E166" s="5">
        <v>3</v>
      </c>
      <c r="F166" s="5">
        <v>83</v>
      </c>
      <c r="G166" s="6">
        <v>3</v>
      </c>
      <c r="H166" s="6">
        <v>32.15</v>
      </c>
    </row>
    <row r="167" spans="1:8" ht="15.6" x14ac:dyDescent="0.3">
      <c r="A167" s="4" t="s">
        <v>195</v>
      </c>
      <c r="B167" s="5" t="s">
        <v>196</v>
      </c>
      <c r="C167" s="5" t="s">
        <v>15</v>
      </c>
      <c r="D167" s="5">
        <v>29</v>
      </c>
      <c r="E167" s="5">
        <v>3</v>
      </c>
      <c r="F167" s="5">
        <v>48</v>
      </c>
      <c r="G167" s="6">
        <v>2</v>
      </c>
      <c r="H167" s="6">
        <v>43.4</v>
      </c>
    </row>
    <row r="168" spans="1:8" ht="15.6" x14ac:dyDescent="0.3">
      <c r="A168" s="4" t="s">
        <v>195</v>
      </c>
      <c r="B168" s="5" t="s">
        <v>197</v>
      </c>
      <c r="C168" s="5" t="s">
        <v>19</v>
      </c>
      <c r="D168" s="5">
        <v>47</v>
      </c>
      <c r="E168" s="5">
        <v>4</v>
      </c>
      <c r="F168" s="5">
        <v>69</v>
      </c>
      <c r="G168" s="6">
        <v>4</v>
      </c>
      <c r="H168" s="6">
        <v>70.45</v>
      </c>
    </row>
    <row r="169" spans="1:8" ht="15.6" x14ac:dyDescent="0.3">
      <c r="A169" s="4" t="s">
        <v>195</v>
      </c>
      <c r="B169" s="5" t="s">
        <v>198</v>
      </c>
      <c r="C169" s="5" t="s">
        <v>9</v>
      </c>
      <c r="D169" s="5">
        <v>50</v>
      </c>
      <c r="E169" s="5">
        <v>8</v>
      </c>
      <c r="F169" s="5">
        <v>82</v>
      </c>
      <c r="G169" s="6">
        <v>1</v>
      </c>
      <c r="H169" s="6">
        <v>73.099999999999994</v>
      </c>
    </row>
    <row r="170" spans="1:8" ht="15.6" x14ac:dyDescent="0.3">
      <c r="A170" s="4" t="s">
        <v>195</v>
      </c>
      <c r="B170" s="5" t="s">
        <v>199</v>
      </c>
      <c r="C170" s="5" t="s">
        <v>21</v>
      </c>
      <c r="D170" s="5">
        <v>20</v>
      </c>
      <c r="E170" s="5">
        <v>3</v>
      </c>
      <c r="F170" s="5">
        <v>0</v>
      </c>
      <c r="G170" s="6">
        <v>4</v>
      </c>
      <c r="H170" s="6">
        <v>38</v>
      </c>
    </row>
    <row r="171" spans="1:8" ht="15.6" x14ac:dyDescent="0.3">
      <c r="A171" s="4" t="s">
        <v>195</v>
      </c>
      <c r="B171" s="5" t="s">
        <v>200</v>
      </c>
      <c r="C171" s="5" t="s">
        <v>15</v>
      </c>
      <c r="D171" s="5">
        <v>20</v>
      </c>
      <c r="E171" s="5">
        <v>5</v>
      </c>
      <c r="F171" s="5">
        <v>25</v>
      </c>
      <c r="G171" s="6">
        <v>2</v>
      </c>
      <c r="H171" s="6">
        <v>37.25</v>
      </c>
    </row>
    <row r="172" spans="1:8" ht="15.6" x14ac:dyDescent="0.3">
      <c r="A172" s="4" t="s">
        <v>195</v>
      </c>
      <c r="B172" s="5" t="s">
        <v>201</v>
      </c>
      <c r="C172" s="5" t="s">
        <v>15</v>
      </c>
      <c r="D172" s="5">
        <v>7</v>
      </c>
      <c r="E172" s="5">
        <v>5</v>
      </c>
      <c r="F172" s="5">
        <v>29</v>
      </c>
      <c r="G172" s="6">
        <v>0</v>
      </c>
      <c r="H172" s="6">
        <v>18.45</v>
      </c>
    </row>
    <row r="173" spans="1:8" ht="15.6" x14ac:dyDescent="0.3">
      <c r="A173" s="4" t="s">
        <v>195</v>
      </c>
      <c r="B173" s="5" t="s">
        <v>202</v>
      </c>
      <c r="C173" s="5" t="s">
        <v>15</v>
      </c>
      <c r="D173" s="5">
        <v>37</v>
      </c>
      <c r="E173" s="5">
        <v>5</v>
      </c>
      <c r="F173" s="5">
        <v>17</v>
      </c>
      <c r="G173" s="6">
        <v>3</v>
      </c>
      <c r="H173" s="6">
        <v>56.85</v>
      </c>
    </row>
    <row r="174" spans="1:8" ht="15.6" x14ac:dyDescent="0.3">
      <c r="A174" s="4" t="s">
        <v>195</v>
      </c>
      <c r="B174" s="5" t="s">
        <v>203</v>
      </c>
      <c r="C174" s="5" t="s">
        <v>12</v>
      </c>
      <c r="D174" s="5">
        <v>22</v>
      </c>
      <c r="E174" s="5">
        <v>5</v>
      </c>
      <c r="F174" s="5">
        <v>41</v>
      </c>
      <c r="G174" s="6">
        <v>1</v>
      </c>
      <c r="H174" s="6">
        <v>37.049999999999997</v>
      </c>
    </row>
    <row r="175" spans="1:8" ht="15.6" x14ac:dyDescent="0.3">
      <c r="A175" s="4" t="s">
        <v>204</v>
      </c>
      <c r="B175" s="5" t="s">
        <v>205</v>
      </c>
      <c r="C175" s="5" t="s">
        <v>12</v>
      </c>
      <c r="D175" s="5">
        <v>46</v>
      </c>
      <c r="E175" s="5">
        <v>4</v>
      </c>
      <c r="F175" s="5">
        <v>40</v>
      </c>
      <c r="G175" s="6">
        <v>1</v>
      </c>
      <c r="H175" s="6">
        <v>59</v>
      </c>
    </row>
    <row r="176" spans="1:8" ht="15.6" x14ac:dyDescent="0.3">
      <c r="A176" s="4" t="s">
        <v>204</v>
      </c>
      <c r="B176" s="5" t="s">
        <v>206</v>
      </c>
      <c r="C176" s="5" t="s">
        <v>23</v>
      </c>
      <c r="D176" s="5">
        <v>23</v>
      </c>
      <c r="E176" s="5">
        <v>4</v>
      </c>
      <c r="F176" s="5">
        <v>7</v>
      </c>
      <c r="G176" s="6">
        <v>5</v>
      </c>
      <c r="H176" s="6">
        <v>46.35</v>
      </c>
    </row>
    <row r="177" spans="1:8" ht="15.6" x14ac:dyDescent="0.3">
      <c r="A177" s="4" t="s">
        <v>204</v>
      </c>
      <c r="B177" s="5" t="s">
        <v>207</v>
      </c>
      <c r="C177" s="5" t="s">
        <v>23</v>
      </c>
      <c r="D177" s="5">
        <v>22</v>
      </c>
      <c r="E177" s="5">
        <v>8</v>
      </c>
      <c r="F177" s="5">
        <v>104</v>
      </c>
      <c r="G177" s="6">
        <v>4</v>
      </c>
      <c r="H177" s="6">
        <v>55.2</v>
      </c>
    </row>
    <row r="178" spans="1:8" ht="15.6" x14ac:dyDescent="0.3">
      <c r="A178" s="4" t="s">
        <v>204</v>
      </c>
      <c r="B178" s="5" t="s">
        <v>208</v>
      </c>
      <c r="C178" s="5" t="s">
        <v>19</v>
      </c>
      <c r="D178" s="5">
        <v>46</v>
      </c>
      <c r="E178" s="5">
        <v>10</v>
      </c>
      <c r="F178" s="5">
        <v>87</v>
      </c>
      <c r="G178" s="6">
        <v>0</v>
      </c>
      <c r="H178" s="6">
        <v>70.349999999999994</v>
      </c>
    </row>
    <row r="179" spans="1:8" ht="15.6" x14ac:dyDescent="0.3">
      <c r="A179" s="4" t="s">
        <v>204</v>
      </c>
      <c r="B179" s="5" t="s">
        <v>209</v>
      </c>
      <c r="C179" s="5" t="s">
        <v>19</v>
      </c>
      <c r="D179" s="5">
        <v>19</v>
      </c>
      <c r="E179" s="5">
        <v>1</v>
      </c>
      <c r="F179" s="5">
        <v>69</v>
      </c>
      <c r="G179" s="6">
        <v>3</v>
      </c>
      <c r="H179" s="6">
        <v>33.450000000000003</v>
      </c>
    </row>
    <row r="180" spans="1:8" ht="15.6" x14ac:dyDescent="0.3">
      <c r="A180" s="4" t="s">
        <v>204</v>
      </c>
      <c r="B180" s="5" t="s">
        <v>210</v>
      </c>
      <c r="C180" s="5" t="s">
        <v>19</v>
      </c>
      <c r="D180" s="5">
        <v>31</v>
      </c>
      <c r="E180" s="5">
        <v>9</v>
      </c>
      <c r="F180" s="5">
        <v>36</v>
      </c>
      <c r="G180" s="6">
        <v>2</v>
      </c>
      <c r="H180" s="6">
        <v>56.8</v>
      </c>
    </row>
    <row r="181" spans="1:8" ht="15.6" x14ac:dyDescent="0.3">
      <c r="A181" s="4" t="s">
        <v>204</v>
      </c>
      <c r="B181" s="5" t="s">
        <v>211</v>
      </c>
      <c r="C181" s="5" t="s">
        <v>15</v>
      </c>
      <c r="D181" s="5">
        <v>49</v>
      </c>
      <c r="E181" s="5">
        <v>0</v>
      </c>
      <c r="F181" s="5">
        <v>14</v>
      </c>
      <c r="G181" s="6">
        <v>0</v>
      </c>
      <c r="H181" s="6">
        <v>49.7</v>
      </c>
    </row>
    <row r="182" spans="1:8" ht="15.6" x14ac:dyDescent="0.3">
      <c r="A182" s="4" t="s">
        <v>204</v>
      </c>
      <c r="B182" s="5" t="s">
        <v>212</v>
      </c>
      <c r="C182" s="5" t="s">
        <v>9</v>
      </c>
      <c r="D182" s="5">
        <v>21</v>
      </c>
      <c r="E182" s="5">
        <v>9</v>
      </c>
      <c r="F182" s="5">
        <v>18</v>
      </c>
      <c r="G182" s="6">
        <v>3</v>
      </c>
      <c r="H182" s="6">
        <v>48.9</v>
      </c>
    </row>
    <row r="183" spans="1:8" ht="15.6" x14ac:dyDescent="0.3">
      <c r="A183" s="4" t="s">
        <v>213</v>
      </c>
      <c r="B183" s="5" t="s">
        <v>214</v>
      </c>
      <c r="C183" s="5" t="s">
        <v>19</v>
      </c>
      <c r="D183" s="5">
        <v>47</v>
      </c>
      <c r="E183" s="5">
        <v>2</v>
      </c>
      <c r="F183" s="5">
        <v>23</v>
      </c>
      <c r="G183" s="6">
        <v>4</v>
      </c>
      <c r="H183" s="6">
        <v>64.150000000000006</v>
      </c>
    </row>
    <row r="184" spans="1:8" ht="15.6" x14ac:dyDescent="0.3">
      <c r="A184" s="4" t="s">
        <v>213</v>
      </c>
      <c r="B184" s="5" t="s">
        <v>215</v>
      </c>
      <c r="C184" s="5" t="s">
        <v>21</v>
      </c>
      <c r="D184" s="5">
        <v>19</v>
      </c>
      <c r="E184" s="5">
        <v>10</v>
      </c>
      <c r="F184" s="5">
        <v>114</v>
      </c>
      <c r="G184" s="6">
        <v>4</v>
      </c>
      <c r="H184" s="6">
        <v>56.7</v>
      </c>
    </row>
    <row r="185" spans="1:8" ht="15.6" x14ac:dyDescent="0.3">
      <c r="A185" s="4" t="s">
        <v>213</v>
      </c>
      <c r="B185" s="5" t="s">
        <v>216</v>
      </c>
      <c r="C185" s="5" t="s">
        <v>15</v>
      </c>
      <c r="D185" s="5">
        <v>43</v>
      </c>
      <c r="E185" s="5">
        <v>0</v>
      </c>
      <c r="F185" s="5">
        <v>86</v>
      </c>
      <c r="G185" s="6">
        <v>5</v>
      </c>
      <c r="H185" s="6">
        <v>62.3</v>
      </c>
    </row>
    <row r="186" spans="1:8" ht="15.6" x14ac:dyDescent="0.3">
      <c r="A186" s="4" t="s">
        <v>213</v>
      </c>
      <c r="B186" s="5" t="s">
        <v>217</v>
      </c>
      <c r="C186" s="5" t="s">
        <v>23</v>
      </c>
      <c r="D186" s="5">
        <v>34</v>
      </c>
      <c r="E186" s="5">
        <v>10</v>
      </c>
      <c r="F186" s="5">
        <v>117</v>
      </c>
      <c r="G186" s="6">
        <v>3</v>
      </c>
      <c r="H186" s="6">
        <v>68.849999999999994</v>
      </c>
    </row>
    <row r="187" spans="1:8" ht="15.6" x14ac:dyDescent="0.3">
      <c r="A187" s="4" t="s">
        <v>213</v>
      </c>
      <c r="B187" s="5" t="s">
        <v>218</v>
      </c>
      <c r="C187" s="5" t="s">
        <v>21</v>
      </c>
      <c r="D187" s="5">
        <v>50</v>
      </c>
      <c r="E187" s="5">
        <v>1</v>
      </c>
      <c r="F187" s="5">
        <v>46</v>
      </c>
      <c r="G187" s="6">
        <v>3</v>
      </c>
      <c r="H187" s="6">
        <v>63.3</v>
      </c>
    </row>
    <row r="188" spans="1:8" ht="15.6" x14ac:dyDescent="0.3">
      <c r="A188" s="4" t="s">
        <v>213</v>
      </c>
      <c r="B188" s="5" t="s">
        <v>219</v>
      </c>
      <c r="C188" s="5" t="s">
        <v>23</v>
      </c>
      <c r="D188" s="5">
        <v>33</v>
      </c>
      <c r="E188" s="5">
        <v>5</v>
      </c>
      <c r="F188" s="5">
        <v>28</v>
      </c>
      <c r="G188" s="6">
        <v>0</v>
      </c>
      <c r="H188" s="6">
        <v>44.4</v>
      </c>
    </row>
    <row r="189" spans="1:8" ht="15.6" x14ac:dyDescent="0.3">
      <c r="A189" s="4" t="s">
        <v>213</v>
      </c>
      <c r="B189" s="5" t="s">
        <v>220</v>
      </c>
      <c r="C189" s="5" t="s">
        <v>15</v>
      </c>
      <c r="D189" s="5">
        <v>42</v>
      </c>
      <c r="E189" s="5">
        <v>2</v>
      </c>
      <c r="F189" s="5">
        <v>41</v>
      </c>
      <c r="G189" s="6">
        <v>5</v>
      </c>
      <c r="H189" s="6">
        <v>63.05</v>
      </c>
    </row>
    <row r="190" spans="1:8" ht="15.6" x14ac:dyDescent="0.3">
      <c r="A190" s="4" t="s">
        <v>221</v>
      </c>
      <c r="B190" s="5" t="s">
        <v>222</v>
      </c>
      <c r="C190" s="5" t="s">
        <v>15</v>
      </c>
      <c r="D190" s="5">
        <v>39</v>
      </c>
      <c r="E190" s="5">
        <v>4</v>
      </c>
      <c r="F190" s="5">
        <v>78</v>
      </c>
      <c r="G190" s="6">
        <v>1</v>
      </c>
      <c r="H190" s="6">
        <v>53.9</v>
      </c>
    </row>
    <row r="191" spans="1:8" ht="15.6" x14ac:dyDescent="0.3">
      <c r="A191" s="4" t="s">
        <v>221</v>
      </c>
      <c r="B191" s="5" t="s">
        <v>223</v>
      </c>
      <c r="C191" s="5" t="s">
        <v>21</v>
      </c>
      <c r="D191" s="5">
        <v>3</v>
      </c>
      <c r="E191" s="5">
        <v>8</v>
      </c>
      <c r="F191" s="5">
        <v>11</v>
      </c>
      <c r="G191" s="6">
        <v>0</v>
      </c>
      <c r="H191" s="6">
        <v>19.55</v>
      </c>
    </row>
    <row r="192" spans="1:8" ht="15.6" x14ac:dyDescent="0.3">
      <c r="A192" s="4" t="s">
        <v>221</v>
      </c>
      <c r="B192" s="5" t="s">
        <v>224</v>
      </c>
      <c r="C192" s="5" t="s">
        <v>23</v>
      </c>
      <c r="D192" s="5">
        <v>22</v>
      </c>
      <c r="E192" s="5">
        <v>0</v>
      </c>
      <c r="F192" s="5">
        <v>25</v>
      </c>
      <c r="G192" s="6">
        <v>2</v>
      </c>
      <c r="H192" s="6">
        <v>29.25</v>
      </c>
    </row>
    <row r="193" spans="1:8" ht="15.6" x14ac:dyDescent="0.3">
      <c r="A193" s="4" t="s">
        <v>221</v>
      </c>
      <c r="B193" s="5" t="s">
        <v>225</v>
      </c>
      <c r="C193" s="5" t="s">
        <v>23</v>
      </c>
      <c r="D193" s="5">
        <v>9</v>
      </c>
      <c r="E193" s="5">
        <v>1</v>
      </c>
      <c r="F193" s="5">
        <v>51</v>
      </c>
      <c r="G193" s="6">
        <v>1</v>
      </c>
      <c r="H193" s="6">
        <v>16.55</v>
      </c>
    </row>
    <row r="194" spans="1:8" ht="15.6" x14ac:dyDescent="0.3">
      <c r="A194" s="4" t="s">
        <v>221</v>
      </c>
      <c r="B194" s="5" t="s">
        <v>226</v>
      </c>
      <c r="C194" s="5" t="s">
        <v>15</v>
      </c>
      <c r="D194" s="5">
        <v>21</v>
      </c>
      <c r="E194" s="5">
        <v>7</v>
      </c>
      <c r="F194" s="5">
        <v>97</v>
      </c>
      <c r="G194" s="6">
        <v>5</v>
      </c>
      <c r="H194" s="6">
        <v>54.85</v>
      </c>
    </row>
    <row r="195" spans="1:8" ht="15.6" x14ac:dyDescent="0.3">
      <c r="A195" s="4" t="s">
        <v>221</v>
      </c>
      <c r="B195" s="5" t="s">
        <v>227</v>
      </c>
      <c r="C195" s="5" t="s">
        <v>9</v>
      </c>
      <c r="D195" s="5">
        <v>3</v>
      </c>
      <c r="E195" s="5">
        <v>3</v>
      </c>
      <c r="F195" s="5">
        <v>12</v>
      </c>
      <c r="G195" s="6">
        <v>3</v>
      </c>
      <c r="H195" s="6">
        <v>18.600000000000001</v>
      </c>
    </row>
    <row r="196" spans="1:8" ht="15.6" x14ac:dyDescent="0.3">
      <c r="A196" s="4" t="s">
        <v>221</v>
      </c>
      <c r="B196" s="5" t="s">
        <v>228</v>
      </c>
      <c r="C196" s="5" t="s">
        <v>23</v>
      </c>
      <c r="D196" s="5">
        <v>0</v>
      </c>
      <c r="E196" s="5">
        <v>5</v>
      </c>
      <c r="F196" s="5">
        <v>85</v>
      </c>
      <c r="G196" s="6">
        <v>3</v>
      </c>
      <c r="H196" s="6">
        <v>23.25</v>
      </c>
    </row>
    <row r="197" spans="1:8" ht="15.6" x14ac:dyDescent="0.3">
      <c r="A197" s="4" t="s">
        <v>221</v>
      </c>
      <c r="B197" s="5" t="s">
        <v>229</v>
      </c>
      <c r="C197" s="5" t="s">
        <v>12</v>
      </c>
      <c r="D197" s="5">
        <v>47</v>
      </c>
      <c r="E197" s="5">
        <v>7</v>
      </c>
      <c r="F197" s="5">
        <v>12</v>
      </c>
      <c r="G197" s="6">
        <v>1</v>
      </c>
      <c r="H197" s="6">
        <v>64.599999999999994</v>
      </c>
    </row>
    <row r="198" spans="1:8" ht="15.6" x14ac:dyDescent="0.3">
      <c r="A198" s="4" t="s">
        <v>221</v>
      </c>
      <c r="B198" s="5" t="s">
        <v>230</v>
      </c>
      <c r="C198" s="5" t="s">
        <v>23</v>
      </c>
      <c r="D198" s="5">
        <v>8</v>
      </c>
      <c r="E198" s="5">
        <v>5</v>
      </c>
      <c r="F198" s="5">
        <v>46</v>
      </c>
      <c r="G198" s="6">
        <v>2</v>
      </c>
      <c r="H198" s="6">
        <v>26.3</v>
      </c>
    </row>
    <row r="199" spans="1:8" ht="15.6" x14ac:dyDescent="0.3">
      <c r="A199" s="4" t="s">
        <v>221</v>
      </c>
      <c r="B199" s="5" t="s">
        <v>231</v>
      </c>
      <c r="C199" s="5" t="s">
        <v>12</v>
      </c>
      <c r="D199" s="5">
        <v>1</v>
      </c>
      <c r="E199" s="5">
        <v>9</v>
      </c>
      <c r="F199" s="5">
        <v>98</v>
      </c>
      <c r="G199" s="6">
        <v>0</v>
      </c>
      <c r="H199" s="6">
        <v>23.9</v>
      </c>
    </row>
    <row r="200" spans="1:8" ht="15.6" x14ac:dyDescent="0.3">
      <c r="A200" s="4" t="s">
        <v>221</v>
      </c>
      <c r="B200" s="5" t="s">
        <v>232</v>
      </c>
      <c r="C200" s="5" t="s">
        <v>19</v>
      </c>
      <c r="D200" s="5">
        <v>44</v>
      </c>
      <c r="E200" s="5">
        <v>9</v>
      </c>
      <c r="F200" s="5">
        <v>107</v>
      </c>
      <c r="G200" s="6">
        <v>4</v>
      </c>
      <c r="H200" s="6">
        <v>79.349999999999994</v>
      </c>
    </row>
    <row r="201" spans="1:8" ht="15.6" x14ac:dyDescent="0.3">
      <c r="A201" s="4" t="s">
        <v>221</v>
      </c>
      <c r="B201" s="5" t="s">
        <v>233</v>
      </c>
      <c r="C201" s="5" t="s">
        <v>19</v>
      </c>
      <c r="D201" s="5">
        <v>42</v>
      </c>
      <c r="E201" s="5">
        <v>5</v>
      </c>
      <c r="F201" s="5">
        <v>100</v>
      </c>
      <c r="G201" s="6">
        <v>2</v>
      </c>
      <c r="H201" s="6">
        <v>63</v>
      </c>
    </row>
    <row r="202" spans="1:8" ht="15.6" x14ac:dyDescent="0.3">
      <c r="A202" s="4" t="s">
        <v>221</v>
      </c>
      <c r="B202" s="5" t="s">
        <v>234</v>
      </c>
      <c r="C202" s="5" t="s">
        <v>12</v>
      </c>
      <c r="D202" s="5">
        <v>20</v>
      </c>
      <c r="E202" s="5">
        <v>10</v>
      </c>
      <c r="F202" s="5">
        <v>69</v>
      </c>
      <c r="G202" s="6">
        <v>5</v>
      </c>
      <c r="H202" s="6">
        <v>58.45</v>
      </c>
    </row>
    <row r="203" spans="1:8" ht="15.6" x14ac:dyDescent="0.3">
      <c r="A203" s="4" t="s">
        <v>235</v>
      </c>
      <c r="B203" s="5" t="s">
        <v>236</v>
      </c>
      <c r="C203" s="5" t="s">
        <v>23</v>
      </c>
      <c r="D203" s="5">
        <v>10</v>
      </c>
      <c r="E203" s="5">
        <v>10</v>
      </c>
      <c r="F203" s="5">
        <v>50</v>
      </c>
      <c r="G203" s="6">
        <v>5</v>
      </c>
      <c r="H203" s="6">
        <v>47.5</v>
      </c>
    </row>
    <row r="204" spans="1:8" ht="15.6" x14ac:dyDescent="0.3">
      <c r="A204" s="4" t="s">
        <v>235</v>
      </c>
      <c r="B204" s="5" t="s">
        <v>237</v>
      </c>
      <c r="C204" s="5" t="s">
        <v>15</v>
      </c>
      <c r="D204" s="5">
        <v>23</v>
      </c>
      <c r="E204" s="5">
        <v>2</v>
      </c>
      <c r="F204" s="5">
        <v>9</v>
      </c>
      <c r="G204" s="6">
        <v>2</v>
      </c>
      <c r="H204" s="6">
        <v>33.450000000000003</v>
      </c>
    </row>
    <row r="205" spans="1:8" ht="15.6" x14ac:dyDescent="0.3">
      <c r="A205" s="4" t="s">
        <v>235</v>
      </c>
      <c r="B205" s="5" t="s">
        <v>238</v>
      </c>
      <c r="C205" s="5" t="s">
        <v>19</v>
      </c>
      <c r="D205" s="5">
        <v>39</v>
      </c>
      <c r="E205" s="5">
        <v>9</v>
      </c>
      <c r="F205" s="5">
        <v>113</v>
      </c>
      <c r="G205" s="6">
        <v>5</v>
      </c>
      <c r="H205" s="6">
        <v>77.650000000000006</v>
      </c>
    </row>
    <row r="206" spans="1:8" ht="15.6" x14ac:dyDescent="0.3">
      <c r="A206" s="4" t="s">
        <v>235</v>
      </c>
      <c r="B206" s="5" t="s">
        <v>239</v>
      </c>
      <c r="C206" s="5" t="s">
        <v>12</v>
      </c>
      <c r="D206" s="5">
        <v>35</v>
      </c>
      <c r="E206" s="5">
        <v>3</v>
      </c>
      <c r="F206" s="5">
        <v>55</v>
      </c>
      <c r="G206" s="6">
        <v>2</v>
      </c>
      <c r="H206" s="6">
        <v>49.75</v>
      </c>
    </row>
    <row r="207" spans="1:8" ht="15.6" x14ac:dyDescent="0.3">
      <c r="A207" s="4" t="s">
        <v>235</v>
      </c>
      <c r="B207" s="5" t="s">
        <v>240</v>
      </c>
      <c r="C207" s="5" t="s">
        <v>15</v>
      </c>
      <c r="D207" s="5">
        <v>39</v>
      </c>
      <c r="E207" s="5">
        <v>1</v>
      </c>
      <c r="F207" s="5">
        <v>61</v>
      </c>
      <c r="G207" s="6">
        <v>4</v>
      </c>
      <c r="H207" s="6">
        <v>56.05</v>
      </c>
    </row>
    <row r="208" spans="1:8" ht="15.6" x14ac:dyDescent="0.3">
      <c r="A208" s="4" t="s">
        <v>235</v>
      </c>
      <c r="B208" s="5" t="s">
        <v>241</v>
      </c>
      <c r="C208" s="5" t="s">
        <v>23</v>
      </c>
      <c r="D208" s="5">
        <v>26</v>
      </c>
      <c r="E208" s="5">
        <v>1</v>
      </c>
      <c r="F208" s="5">
        <v>88</v>
      </c>
      <c r="G208" s="6">
        <v>4</v>
      </c>
      <c r="H208" s="6">
        <v>44.4</v>
      </c>
    </row>
    <row r="209" spans="1:8" ht="15.6" x14ac:dyDescent="0.3">
      <c r="A209" s="4" t="s">
        <v>235</v>
      </c>
      <c r="B209" s="5" t="s">
        <v>242</v>
      </c>
      <c r="C209" s="5" t="s">
        <v>21</v>
      </c>
      <c r="D209" s="5">
        <v>3</v>
      </c>
      <c r="E209" s="5">
        <v>8</v>
      </c>
      <c r="F209" s="5">
        <v>41</v>
      </c>
      <c r="G209" s="6">
        <v>5</v>
      </c>
      <c r="H209" s="6">
        <v>36.049999999999997</v>
      </c>
    </row>
    <row r="210" spans="1:8" ht="15.6" x14ac:dyDescent="0.3">
      <c r="A210" s="4" t="s">
        <v>235</v>
      </c>
      <c r="B210" s="5" t="s">
        <v>243</v>
      </c>
      <c r="C210" s="5" t="s">
        <v>23</v>
      </c>
      <c r="D210" s="5">
        <v>18</v>
      </c>
      <c r="E210" s="5">
        <v>10</v>
      </c>
      <c r="F210" s="5">
        <v>118</v>
      </c>
      <c r="G210" s="6">
        <v>4</v>
      </c>
      <c r="H210" s="6">
        <v>55.9</v>
      </c>
    </row>
    <row r="211" spans="1:8" ht="15.6" x14ac:dyDescent="0.3">
      <c r="A211" s="4" t="s">
        <v>235</v>
      </c>
      <c r="B211" s="5" t="s">
        <v>244</v>
      </c>
      <c r="C211" s="5" t="s">
        <v>15</v>
      </c>
      <c r="D211" s="5">
        <v>22</v>
      </c>
      <c r="E211" s="5">
        <v>8</v>
      </c>
      <c r="F211" s="5">
        <v>18</v>
      </c>
      <c r="G211" s="6">
        <v>1</v>
      </c>
      <c r="H211" s="6">
        <v>41.9</v>
      </c>
    </row>
    <row r="212" spans="1:8" ht="15.6" x14ac:dyDescent="0.3">
      <c r="A212" s="4" t="s">
        <v>235</v>
      </c>
      <c r="B212" s="5" t="s">
        <v>245</v>
      </c>
      <c r="C212" s="5" t="s">
        <v>9</v>
      </c>
      <c r="D212" s="5">
        <v>13</v>
      </c>
      <c r="E212" s="5">
        <v>1</v>
      </c>
      <c r="F212" s="5">
        <v>68</v>
      </c>
      <c r="G212" s="6">
        <v>2</v>
      </c>
      <c r="H212" s="6">
        <v>24.4</v>
      </c>
    </row>
    <row r="213" spans="1:8" ht="15.6" x14ac:dyDescent="0.3">
      <c r="A213" s="4" t="s">
        <v>235</v>
      </c>
      <c r="B213" s="5" t="s">
        <v>246</v>
      </c>
      <c r="C213" s="5" t="s">
        <v>15</v>
      </c>
      <c r="D213" s="5">
        <v>30</v>
      </c>
      <c r="E213" s="5">
        <v>10</v>
      </c>
      <c r="F213" s="5">
        <v>74</v>
      </c>
      <c r="G213" s="6">
        <v>5</v>
      </c>
      <c r="H213" s="6">
        <v>68.7</v>
      </c>
    </row>
    <row r="214" spans="1:8" ht="15.6" x14ac:dyDescent="0.3">
      <c r="A214" s="4" t="s">
        <v>247</v>
      </c>
      <c r="B214" s="5" t="s">
        <v>248</v>
      </c>
      <c r="C214" s="5" t="s">
        <v>15</v>
      </c>
      <c r="D214" s="5">
        <v>23</v>
      </c>
      <c r="E214" s="5">
        <v>10</v>
      </c>
      <c r="F214" s="5">
        <v>35</v>
      </c>
      <c r="G214" s="6">
        <v>3</v>
      </c>
      <c r="H214" s="6">
        <v>53.75</v>
      </c>
    </row>
    <row r="215" spans="1:8" ht="15.6" x14ac:dyDescent="0.3">
      <c r="A215" s="4" t="s">
        <v>247</v>
      </c>
      <c r="B215" s="5" t="s">
        <v>249</v>
      </c>
      <c r="C215" s="5" t="s">
        <v>15</v>
      </c>
      <c r="D215" s="5">
        <v>50</v>
      </c>
      <c r="E215" s="5">
        <v>9</v>
      </c>
      <c r="F215" s="5">
        <v>99</v>
      </c>
      <c r="G215" s="6">
        <v>0</v>
      </c>
      <c r="H215" s="6">
        <v>72.95</v>
      </c>
    </row>
    <row r="216" spans="1:8" ht="15.6" x14ac:dyDescent="0.3">
      <c r="A216" s="4" t="s">
        <v>247</v>
      </c>
      <c r="B216" s="5" t="s">
        <v>250</v>
      </c>
      <c r="C216" s="5" t="s">
        <v>19</v>
      </c>
      <c r="D216" s="5">
        <v>35</v>
      </c>
      <c r="E216" s="5">
        <v>8</v>
      </c>
      <c r="F216" s="5">
        <v>35</v>
      </c>
      <c r="G216" s="6">
        <v>3</v>
      </c>
      <c r="H216" s="6">
        <v>61.75</v>
      </c>
    </row>
    <row r="217" spans="1:8" ht="15.6" x14ac:dyDescent="0.3">
      <c r="A217" s="4" t="s">
        <v>247</v>
      </c>
      <c r="B217" s="5" t="s">
        <v>251</v>
      </c>
      <c r="C217" s="5" t="s">
        <v>9</v>
      </c>
      <c r="D217" s="5">
        <v>43</v>
      </c>
      <c r="E217" s="5">
        <v>2</v>
      </c>
      <c r="F217" s="5">
        <v>9</v>
      </c>
      <c r="G217" s="6">
        <v>0</v>
      </c>
      <c r="H217" s="6">
        <v>47.45</v>
      </c>
    </row>
    <row r="218" spans="1:8" ht="15.6" x14ac:dyDescent="0.3">
      <c r="A218" s="4" t="s">
        <v>247</v>
      </c>
      <c r="B218" s="5" t="s">
        <v>252</v>
      </c>
      <c r="C218" s="5" t="s">
        <v>12</v>
      </c>
      <c r="D218" s="5">
        <v>28</v>
      </c>
      <c r="E218" s="5">
        <v>3</v>
      </c>
      <c r="F218" s="5">
        <v>63</v>
      </c>
      <c r="G218" s="6">
        <v>3</v>
      </c>
      <c r="H218" s="6">
        <v>46.15</v>
      </c>
    </row>
    <row r="219" spans="1:8" ht="15.6" x14ac:dyDescent="0.3">
      <c r="A219" s="4" t="s">
        <v>247</v>
      </c>
      <c r="B219" s="5" t="s">
        <v>253</v>
      </c>
      <c r="C219" s="5" t="s">
        <v>19</v>
      </c>
      <c r="D219" s="5">
        <v>36</v>
      </c>
      <c r="E219" s="5">
        <v>0</v>
      </c>
      <c r="F219" s="5">
        <v>120</v>
      </c>
      <c r="G219" s="6">
        <v>2</v>
      </c>
      <c r="H219" s="6">
        <v>48</v>
      </c>
    </row>
    <row r="220" spans="1:8" ht="15.6" x14ac:dyDescent="0.3">
      <c r="A220" s="4" t="s">
        <v>247</v>
      </c>
      <c r="B220" s="5" t="s">
        <v>254</v>
      </c>
      <c r="C220" s="5" t="s">
        <v>9</v>
      </c>
      <c r="D220" s="5">
        <v>13</v>
      </c>
      <c r="E220" s="5">
        <v>8</v>
      </c>
      <c r="F220" s="5">
        <v>77</v>
      </c>
      <c r="G220" s="6">
        <v>5</v>
      </c>
      <c r="H220" s="6">
        <v>47.85</v>
      </c>
    </row>
    <row r="221" spans="1:8" ht="15.6" x14ac:dyDescent="0.3">
      <c r="A221" s="4" t="s">
        <v>247</v>
      </c>
      <c r="B221" s="5" t="s">
        <v>255</v>
      </c>
      <c r="C221" s="5" t="s">
        <v>9</v>
      </c>
      <c r="D221" s="5">
        <v>19</v>
      </c>
      <c r="E221" s="5">
        <v>8</v>
      </c>
      <c r="F221" s="5">
        <v>46</v>
      </c>
      <c r="G221" s="6">
        <v>2</v>
      </c>
      <c r="H221" s="6">
        <v>43.3</v>
      </c>
    </row>
    <row r="222" spans="1:8" ht="15.6" x14ac:dyDescent="0.3">
      <c r="A222" s="4" t="s">
        <v>247</v>
      </c>
      <c r="B222" s="5" t="s">
        <v>256</v>
      </c>
      <c r="C222" s="5" t="s">
        <v>15</v>
      </c>
      <c r="D222" s="5">
        <v>37</v>
      </c>
      <c r="E222" s="5">
        <v>10</v>
      </c>
      <c r="F222" s="5">
        <v>90</v>
      </c>
      <c r="G222" s="6">
        <v>4</v>
      </c>
      <c r="H222" s="6">
        <v>73.5</v>
      </c>
    </row>
    <row r="223" spans="1:8" ht="15.6" x14ac:dyDescent="0.3">
      <c r="A223" s="4" t="s">
        <v>247</v>
      </c>
      <c r="B223" s="5" t="s">
        <v>257</v>
      </c>
      <c r="C223" s="5" t="s">
        <v>19</v>
      </c>
      <c r="D223" s="5">
        <v>28</v>
      </c>
      <c r="E223" s="5">
        <v>2</v>
      </c>
      <c r="F223" s="5">
        <v>30</v>
      </c>
      <c r="G223" s="6">
        <v>4</v>
      </c>
      <c r="H223" s="6">
        <v>45.5</v>
      </c>
    </row>
    <row r="224" spans="1:8" ht="15.6" x14ac:dyDescent="0.3">
      <c r="A224" s="4" t="s">
        <v>247</v>
      </c>
      <c r="B224" s="5" t="s">
        <v>258</v>
      </c>
      <c r="C224" s="5" t="s">
        <v>23</v>
      </c>
      <c r="D224" s="5">
        <v>40</v>
      </c>
      <c r="E224" s="5">
        <v>3</v>
      </c>
      <c r="F224" s="5">
        <v>27</v>
      </c>
      <c r="G224" s="6">
        <v>4</v>
      </c>
      <c r="H224" s="6">
        <v>59.35</v>
      </c>
    </row>
    <row r="225" spans="1:8" ht="15.6" x14ac:dyDescent="0.3">
      <c r="A225" s="4" t="s">
        <v>247</v>
      </c>
      <c r="B225" s="5" t="s">
        <v>259</v>
      </c>
      <c r="C225" s="5" t="s">
        <v>9</v>
      </c>
      <c r="D225" s="5">
        <v>19</v>
      </c>
      <c r="E225" s="5">
        <v>0</v>
      </c>
      <c r="F225" s="5">
        <v>92</v>
      </c>
      <c r="G225" s="6">
        <v>5</v>
      </c>
      <c r="H225" s="6">
        <v>38.6</v>
      </c>
    </row>
    <row r="226" spans="1:8" ht="15.6" x14ac:dyDescent="0.3">
      <c r="A226" s="4" t="s">
        <v>247</v>
      </c>
      <c r="B226" s="5" t="s">
        <v>260</v>
      </c>
      <c r="C226" s="5" t="s">
        <v>12</v>
      </c>
      <c r="D226" s="5">
        <v>33</v>
      </c>
      <c r="E226" s="5">
        <v>1</v>
      </c>
      <c r="F226" s="5">
        <v>38</v>
      </c>
      <c r="G226" s="6">
        <v>5</v>
      </c>
      <c r="H226" s="6">
        <v>51.9</v>
      </c>
    </row>
    <row r="227" spans="1:8" ht="15.6" x14ac:dyDescent="0.3">
      <c r="A227" s="4" t="s">
        <v>247</v>
      </c>
      <c r="B227" s="5" t="s">
        <v>261</v>
      </c>
      <c r="C227" s="5" t="s">
        <v>12</v>
      </c>
      <c r="D227" s="5">
        <v>32</v>
      </c>
      <c r="E227" s="5">
        <v>4</v>
      </c>
      <c r="F227" s="5">
        <v>119</v>
      </c>
      <c r="G227" s="6">
        <v>3</v>
      </c>
      <c r="H227" s="6">
        <v>54.95</v>
      </c>
    </row>
    <row r="228" spans="1:8" ht="15.6" x14ac:dyDescent="0.3">
      <c r="A228" s="4" t="s">
        <v>247</v>
      </c>
      <c r="B228" s="5" t="s">
        <v>262</v>
      </c>
      <c r="C228" s="5" t="s">
        <v>23</v>
      </c>
      <c r="D228" s="5">
        <v>29</v>
      </c>
      <c r="E228" s="5">
        <v>8</v>
      </c>
      <c r="F228" s="5">
        <v>90</v>
      </c>
      <c r="G228" s="6">
        <v>0</v>
      </c>
      <c r="H228" s="6">
        <v>49.5</v>
      </c>
    </row>
    <row r="229" spans="1:8" ht="15.6" x14ac:dyDescent="0.3">
      <c r="A229" s="4" t="s">
        <v>263</v>
      </c>
      <c r="B229" s="5" t="s">
        <v>264</v>
      </c>
      <c r="C229" s="5" t="s">
        <v>12</v>
      </c>
      <c r="D229" s="5">
        <v>5</v>
      </c>
      <c r="E229" s="5">
        <v>2</v>
      </c>
      <c r="F229" s="5">
        <v>108</v>
      </c>
      <c r="G229" s="6">
        <v>5</v>
      </c>
      <c r="H229" s="6">
        <v>29.4</v>
      </c>
    </row>
    <row r="230" spans="1:8" ht="15.6" x14ac:dyDescent="0.3">
      <c r="A230" s="4" t="s">
        <v>263</v>
      </c>
      <c r="B230" s="5" t="s">
        <v>265</v>
      </c>
      <c r="C230" s="5" t="s">
        <v>21</v>
      </c>
      <c r="D230" s="5">
        <v>18</v>
      </c>
      <c r="E230" s="5">
        <v>7</v>
      </c>
      <c r="F230" s="5">
        <v>1</v>
      </c>
      <c r="G230" s="6">
        <v>0</v>
      </c>
      <c r="H230" s="6">
        <v>32.049999999999997</v>
      </c>
    </row>
    <row r="231" spans="1:8" ht="15.6" x14ac:dyDescent="0.3">
      <c r="A231" s="4" t="s">
        <v>263</v>
      </c>
      <c r="B231" s="5" t="s">
        <v>266</v>
      </c>
      <c r="C231" s="5" t="s">
        <v>9</v>
      </c>
      <c r="D231" s="5">
        <v>13</v>
      </c>
      <c r="E231" s="5">
        <v>2</v>
      </c>
      <c r="F231" s="5">
        <v>93</v>
      </c>
      <c r="G231" s="6">
        <v>5</v>
      </c>
      <c r="H231" s="6">
        <v>36.65</v>
      </c>
    </row>
    <row r="232" spans="1:8" ht="15.6" x14ac:dyDescent="0.3">
      <c r="A232" s="4" t="s">
        <v>263</v>
      </c>
      <c r="B232" s="5" t="s">
        <v>267</v>
      </c>
      <c r="C232" s="5" t="s">
        <v>23</v>
      </c>
      <c r="D232" s="5">
        <v>0</v>
      </c>
      <c r="E232" s="5">
        <v>6</v>
      </c>
      <c r="F232" s="5">
        <v>75</v>
      </c>
      <c r="G232" s="6">
        <v>5</v>
      </c>
      <c r="H232" s="6">
        <v>30.75</v>
      </c>
    </row>
    <row r="233" spans="1:8" ht="15.6" x14ac:dyDescent="0.3">
      <c r="A233" s="4" t="s">
        <v>263</v>
      </c>
      <c r="B233" s="5" t="s">
        <v>268</v>
      </c>
      <c r="C233" s="5" t="s">
        <v>15</v>
      </c>
      <c r="D233" s="5">
        <v>4</v>
      </c>
      <c r="E233" s="5">
        <v>8</v>
      </c>
      <c r="F233" s="5">
        <v>4</v>
      </c>
      <c r="G233" s="6">
        <v>3</v>
      </c>
      <c r="H233" s="6">
        <v>29.2</v>
      </c>
    </row>
    <row r="234" spans="1:8" ht="15.6" x14ac:dyDescent="0.3">
      <c r="A234" s="4" t="s">
        <v>263</v>
      </c>
      <c r="B234" s="5" t="s">
        <v>269</v>
      </c>
      <c r="C234" s="5" t="s">
        <v>15</v>
      </c>
      <c r="D234" s="5">
        <v>6</v>
      </c>
      <c r="E234" s="5">
        <v>4</v>
      </c>
      <c r="F234" s="5">
        <v>59</v>
      </c>
      <c r="G234" s="6">
        <v>1</v>
      </c>
      <c r="H234" s="6">
        <v>19.95</v>
      </c>
    </row>
    <row r="235" spans="1:8" ht="15.6" x14ac:dyDescent="0.3">
      <c r="A235" s="4" t="s">
        <v>263</v>
      </c>
      <c r="B235" s="5" t="s">
        <v>270</v>
      </c>
      <c r="C235" s="5" t="s">
        <v>15</v>
      </c>
      <c r="D235" s="5">
        <v>22</v>
      </c>
      <c r="E235" s="5">
        <v>1</v>
      </c>
      <c r="F235" s="5">
        <v>99</v>
      </c>
      <c r="G235" s="6">
        <v>4</v>
      </c>
      <c r="H235" s="6">
        <v>40.950000000000003</v>
      </c>
    </row>
    <row r="236" spans="1:8" ht="15.6" x14ac:dyDescent="0.3">
      <c r="A236" s="4" t="s">
        <v>263</v>
      </c>
      <c r="B236" s="5" t="s">
        <v>271</v>
      </c>
      <c r="C236" s="5" t="s">
        <v>9</v>
      </c>
      <c r="D236" s="5">
        <v>18</v>
      </c>
      <c r="E236" s="5">
        <v>3</v>
      </c>
      <c r="F236" s="5">
        <v>42</v>
      </c>
      <c r="G236" s="6">
        <v>5</v>
      </c>
      <c r="H236" s="6">
        <v>41.1</v>
      </c>
    </row>
    <row r="237" spans="1:8" ht="15.6" x14ac:dyDescent="0.3">
      <c r="A237" s="4" t="s">
        <v>263</v>
      </c>
      <c r="B237" s="5" t="s">
        <v>272</v>
      </c>
      <c r="C237" s="5" t="s">
        <v>23</v>
      </c>
      <c r="D237" s="5">
        <v>30</v>
      </c>
      <c r="E237" s="5">
        <v>3</v>
      </c>
      <c r="F237" s="5">
        <v>67</v>
      </c>
      <c r="G237" s="6">
        <v>2</v>
      </c>
      <c r="H237" s="6">
        <v>45.35</v>
      </c>
    </row>
    <row r="238" spans="1:8" ht="15.6" x14ac:dyDescent="0.3">
      <c r="A238" s="4" t="s">
        <v>263</v>
      </c>
      <c r="B238" s="5" t="s">
        <v>273</v>
      </c>
      <c r="C238" s="5" t="s">
        <v>19</v>
      </c>
      <c r="D238" s="5">
        <v>37</v>
      </c>
      <c r="E238" s="5">
        <v>0</v>
      </c>
      <c r="F238" s="5">
        <v>25</v>
      </c>
      <c r="G238" s="6">
        <v>3</v>
      </c>
      <c r="H238" s="6">
        <v>47.25</v>
      </c>
    </row>
    <row r="239" spans="1:8" ht="15.6" x14ac:dyDescent="0.3">
      <c r="A239" s="4" t="s">
        <v>263</v>
      </c>
      <c r="B239" s="5" t="s">
        <v>274</v>
      </c>
      <c r="C239" s="5" t="s">
        <v>23</v>
      </c>
      <c r="D239" s="5">
        <v>39</v>
      </c>
      <c r="E239" s="5">
        <v>6</v>
      </c>
      <c r="F239" s="5">
        <v>48</v>
      </c>
      <c r="G239" s="6">
        <v>1</v>
      </c>
      <c r="H239" s="6">
        <v>56.4</v>
      </c>
    </row>
    <row r="240" spans="1:8" ht="15.6" x14ac:dyDescent="0.3">
      <c r="A240" s="4" t="s">
        <v>263</v>
      </c>
      <c r="B240" s="5" t="s">
        <v>275</v>
      </c>
      <c r="C240" s="5" t="s">
        <v>19</v>
      </c>
      <c r="D240" s="5">
        <v>44</v>
      </c>
      <c r="E240" s="5">
        <v>3</v>
      </c>
      <c r="F240" s="5">
        <v>41</v>
      </c>
      <c r="G240" s="6">
        <v>0</v>
      </c>
      <c r="H240" s="6">
        <v>52.05</v>
      </c>
    </row>
    <row r="241" spans="1:8" ht="15.6" x14ac:dyDescent="0.3">
      <c r="A241" s="4" t="s">
        <v>276</v>
      </c>
      <c r="B241" s="5" t="s">
        <v>277</v>
      </c>
      <c r="C241" s="5" t="s">
        <v>12</v>
      </c>
      <c r="D241" s="5">
        <v>48</v>
      </c>
      <c r="E241" s="5">
        <v>0</v>
      </c>
      <c r="F241" s="5">
        <v>37</v>
      </c>
      <c r="G241" s="6">
        <v>5</v>
      </c>
      <c r="H241" s="6">
        <v>64.849999999999994</v>
      </c>
    </row>
    <row r="242" spans="1:8" ht="15.6" x14ac:dyDescent="0.3">
      <c r="A242" s="4" t="s">
        <v>276</v>
      </c>
      <c r="B242" s="5" t="s">
        <v>278</v>
      </c>
      <c r="C242" s="5" t="s">
        <v>19</v>
      </c>
      <c r="D242" s="5">
        <v>12</v>
      </c>
      <c r="E242" s="5">
        <v>4</v>
      </c>
      <c r="F242" s="5">
        <v>4</v>
      </c>
      <c r="G242" s="6">
        <v>0</v>
      </c>
      <c r="H242" s="6">
        <v>20.2</v>
      </c>
    </row>
    <row r="243" spans="1:8" ht="15.6" x14ac:dyDescent="0.3">
      <c r="A243" s="4" t="s">
        <v>276</v>
      </c>
      <c r="B243" s="5" t="s">
        <v>279</v>
      </c>
      <c r="C243" s="5" t="s">
        <v>12</v>
      </c>
      <c r="D243" s="5">
        <v>49</v>
      </c>
      <c r="E243" s="5">
        <v>1</v>
      </c>
      <c r="F243" s="5">
        <v>75</v>
      </c>
      <c r="G243" s="6">
        <v>1</v>
      </c>
      <c r="H243" s="6">
        <v>57.75</v>
      </c>
    </row>
    <row r="244" spans="1:8" ht="15.6" x14ac:dyDescent="0.3">
      <c r="A244" s="4" t="s">
        <v>276</v>
      </c>
      <c r="B244" s="5" t="s">
        <v>280</v>
      </c>
      <c r="C244" s="5" t="s">
        <v>15</v>
      </c>
      <c r="D244" s="5">
        <v>50</v>
      </c>
      <c r="E244" s="5">
        <v>0</v>
      </c>
      <c r="F244" s="5">
        <v>112</v>
      </c>
      <c r="G244" s="6">
        <v>3</v>
      </c>
      <c r="H244" s="6">
        <v>64.599999999999994</v>
      </c>
    </row>
    <row r="245" spans="1:8" ht="15.6" x14ac:dyDescent="0.3">
      <c r="A245" s="4" t="s">
        <v>276</v>
      </c>
      <c r="B245" s="5" t="s">
        <v>281</v>
      </c>
      <c r="C245" s="5" t="s">
        <v>15</v>
      </c>
      <c r="D245" s="5">
        <v>50</v>
      </c>
      <c r="E245" s="5">
        <v>4</v>
      </c>
      <c r="F245" s="5">
        <v>113</v>
      </c>
      <c r="G245" s="6">
        <v>3</v>
      </c>
      <c r="H245" s="6">
        <v>72.650000000000006</v>
      </c>
    </row>
    <row r="246" spans="1:8" ht="15.6" x14ac:dyDescent="0.3">
      <c r="A246" s="4" t="s">
        <v>276</v>
      </c>
      <c r="B246" s="5" t="s">
        <v>282</v>
      </c>
      <c r="C246" s="5" t="s">
        <v>12</v>
      </c>
      <c r="D246" s="5">
        <v>36</v>
      </c>
      <c r="E246" s="5">
        <v>5</v>
      </c>
      <c r="F246" s="5">
        <v>32</v>
      </c>
      <c r="G246" s="6">
        <v>4</v>
      </c>
      <c r="H246" s="6">
        <v>59.6</v>
      </c>
    </row>
    <row r="247" spans="1:8" ht="15.6" x14ac:dyDescent="0.3">
      <c r="A247" s="4" t="s">
        <v>276</v>
      </c>
      <c r="B247" s="5" t="s">
        <v>283</v>
      </c>
      <c r="C247" s="5" t="s">
        <v>9</v>
      </c>
      <c r="D247" s="5">
        <v>39</v>
      </c>
      <c r="E247" s="5">
        <v>4</v>
      </c>
      <c r="F247" s="5">
        <v>108</v>
      </c>
      <c r="G247" s="6">
        <v>4</v>
      </c>
      <c r="H247" s="6">
        <v>64.400000000000006</v>
      </c>
    </row>
    <row r="248" spans="1:8" ht="15.6" x14ac:dyDescent="0.3">
      <c r="A248" s="4" t="s">
        <v>276</v>
      </c>
      <c r="B248" s="5" t="s">
        <v>284</v>
      </c>
      <c r="C248" s="5" t="s">
        <v>9</v>
      </c>
      <c r="D248" s="5">
        <v>23</v>
      </c>
      <c r="E248" s="5">
        <v>8</v>
      </c>
      <c r="F248" s="5">
        <v>101</v>
      </c>
      <c r="G248" s="6">
        <v>0</v>
      </c>
      <c r="H248" s="6">
        <v>44.05</v>
      </c>
    </row>
    <row r="249" spans="1:8" ht="15.6" x14ac:dyDescent="0.3">
      <c r="A249" s="4" t="s">
        <v>276</v>
      </c>
      <c r="B249" s="5" t="s">
        <v>285</v>
      </c>
      <c r="C249" s="5" t="s">
        <v>12</v>
      </c>
      <c r="D249" s="5">
        <v>0</v>
      </c>
      <c r="E249" s="5">
        <v>1</v>
      </c>
      <c r="F249" s="5">
        <v>91</v>
      </c>
      <c r="G249" s="6">
        <v>2</v>
      </c>
      <c r="H249" s="6">
        <v>12.55</v>
      </c>
    </row>
    <row r="250" spans="1:8" ht="15.6" x14ac:dyDescent="0.3">
      <c r="A250" s="4" t="s">
        <v>276</v>
      </c>
      <c r="B250" s="5" t="s">
        <v>286</v>
      </c>
      <c r="C250" s="5" t="s">
        <v>15</v>
      </c>
      <c r="D250" s="5">
        <v>19</v>
      </c>
      <c r="E250" s="5">
        <v>2</v>
      </c>
      <c r="F250" s="5">
        <v>23</v>
      </c>
      <c r="G250" s="6">
        <v>2</v>
      </c>
      <c r="H250" s="6">
        <v>30.15</v>
      </c>
    </row>
    <row r="251" spans="1:8" ht="15.6" x14ac:dyDescent="0.3">
      <c r="A251" s="4" t="s">
        <v>276</v>
      </c>
      <c r="B251" s="5" t="s">
        <v>287</v>
      </c>
      <c r="C251" s="5" t="s">
        <v>9</v>
      </c>
      <c r="D251" s="5">
        <v>21</v>
      </c>
      <c r="E251" s="5">
        <v>2</v>
      </c>
      <c r="F251" s="5">
        <v>38</v>
      </c>
      <c r="G251" s="6">
        <v>2</v>
      </c>
      <c r="H251" s="6">
        <v>32.9</v>
      </c>
    </row>
    <row r="252" spans="1:8" ht="15.6" x14ac:dyDescent="0.3">
      <c r="A252" s="4" t="s">
        <v>276</v>
      </c>
      <c r="B252" s="5" t="s">
        <v>288</v>
      </c>
      <c r="C252" s="5" t="s">
        <v>21</v>
      </c>
      <c r="D252" s="5">
        <v>26</v>
      </c>
      <c r="E252" s="5">
        <v>9</v>
      </c>
      <c r="F252" s="5">
        <v>112</v>
      </c>
      <c r="G252" s="6">
        <v>4</v>
      </c>
      <c r="H252" s="6">
        <v>61.6</v>
      </c>
    </row>
    <row r="253" spans="1:8" ht="15.6" x14ac:dyDescent="0.3">
      <c r="A253" s="4" t="s">
        <v>276</v>
      </c>
      <c r="B253" s="5" t="s">
        <v>289</v>
      </c>
      <c r="C253" s="5" t="s">
        <v>15</v>
      </c>
      <c r="D253" s="5">
        <v>50</v>
      </c>
      <c r="E253" s="5">
        <v>4</v>
      </c>
      <c r="F253" s="5">
        <v>72</v>
      </c>
      <c r="G253" s="6">
        <v>3</v>
      </c>
      <c r="H253" s="6">
        <v>70.599999999999994</v>
      </c>
    </row>
    <row r="254" spans="1:8" ht="15.6" x14ac:dyDescent="0.3">
      <c r="A254" s="4" t="s">
        <v>276</v>
      </c>
      <c r="B254" s="5" t="s">
        <v>290</v>
      </c>
      <c r="C254" s="5" t="s">
        <v>19</v>
      </c>
      <c r="D254" s="5">
        <v>21</v>
      </c>
      <c r="E254" s="5">
        <v>3</v>
      </c>
      <c r="F254" s="5">
        <v>31</v>
      </c>
      <c r="G254" s="6">
        <v>5</v>
      </c>
      <c r="H254" s="6">
        <v>43.55</v>
      </c>
    </row>
    <row r="255" spans="1:8" ht="15.6" x14ac:dyDescent="0.3">
      <c r="A255" s="4" t="s">
        <v>276</v>
      </c>
      <c r="B255" s="5" t="s">
        <v>291</v>
      </c>
      <c r="C255" s="5" t="s">
        <v>9</v>
      </c>
      <c r="D255" s="5">
        <v>4</v>
      </c>
      <c r="E255" s="5">
        <v>4</v>
      </c>
      <c r="F255" s="5">
        <v>20</v>
      </c>
      <c r="G255" s="6">
        <v>1</v>
      </c>
      <c r="H255" s="6">
        <v>16</v>
      </c>
    </row>
    <row r="256" spans="1:8" ht="15.6" x14ac:dyDescent="0.3">
      <c r="A256" s="4" t="s">
        <v>292</v>
      </c>
      <c r="B256" s="5" t="s">
        <v>293</v>
      </c>
      <c r="C256" s="5" t="s">
        <v>9</v>
      </c>
      <c r="D256" s="5">
        <v>29</v>
      </c>
      <c r="E256" s="5">
        <v>1</v>
      </c>
      <c r="F256" s="5">
        <v>39</v>
      </c>
      <c r="G256" s="6">
        <v>0</v>
      </c>
      <c r="H256" s="6">
        <v>32.950000000000003</v>
      </c>
    </row>
    <row r="257" spans="1:8" ht="15.6" x14ac:dyDescent="0.3">
      <c r="A257" s="4" t="s">
        <v>292</v>
      </c>
      <c r="B257" s="5" t="s">
        <v>294</v>
      </c>
      <c r="C257" s="5" t="s">
        <v>15</v>
      </c>
      <c r="D257" s="5">
        <v>14</v>
      </c>
      <c r="E257" s="5">
        <v>2</v>
      </c>
      <c r="F257" s="5">
        <v>28</v>
      </c>
      <c r="G257" s="6">
        <v>0</v>
      </c>
      <c r="H257" s="6">
        <v>19.399999999999999</v>
      </c>
    </row>
    <row r="258" spans="1:8" ht="15.6" x14ac:dyDescent="0.3">
      <c r="A258" s="4" t="s">
        <v>292</v>
      </c>
      <c r="B258" s="5" t="s">
        <v>295</v>
      </c>
      <c r="C258" s="5" t="s">
        <v>19</v>
      </c>
      <c r="D258" s="5">
        <v>5</v>
      </c>
      <c r="E258" s="5">
        <v>3</v>
      </c>
      <c r="F258" s="5">
        <v>11</v>
      </c>
      <c r="G258" s="6">
        <v>3</v>
      </c>
      <c r="H258" s="6">
        <v>20.55</v>
      </c>
    </row>
    <row r="259" spans="1:8" ht="15.6" x14ac:dyDescent="0.3">
      <c r="A259" s="4" t="s">
        <v>292</v>
      </c>
      <c r="B259" s="5" t="s">
        <v>296</v>
      </c>
      <c r="C259" s="5" t="s">
        <v>21</v>
      </c>
      <c r="D259" s="5">
        <v>11</v>
      </c>
      <c r="E259" s="5">
        <v>0</v>
      </c>
      <c r="F259" s="5">
        <v>33</v>
      </c>
      <c r="G259" s="6">
        <v>3</v>
      </c>
      <c r="H259" s="6">
        <v>21.65</v>
      </c>
    </row>
    <row r="260" spans="1:8" ht="15.6" x14ac:dyDescent="0.3">
      <c r="A260" s="4" t="s">
        <v>292</v>
      </c>
      <c r="B260" s="5" t="s">
        <v>297</v>
      </c>
      <c r="C260" s="5" t="s">
        <v>21</v>
      </c>
      <c r="D260" s="5">
        <v>35</v>
      </c>
      <c r="E260" s="5">
        <v>7</v>
      </c>
      <c r="F260" s="5">
        <v>29</v>
      </c>
      <c r="G260" s="6">
        <v>1</v>
      </c>
      <c r="H260" s="6">
        <v>53.45</v>
      </c>
    </row>
    <row r="261" spans="1:8" ht="15.6" x14ac:dyDescent="0.3">
      <c r="A261" s="4" t="s">
        <v>292</v>
      </c>
      <c r="B261" s="5" t="s">
        <v>298</v>
      </c>
      <c r="C261" s="5" t="s">
        <v>9</v>
      </c>
      <c r="D261" s="5">
        <v>9</v>
      </c>
      <c r="E261" s="5">
        <v>4</v>
      </c>
      <c r="F261" s="5">
        <v>51</v>
      </c>
      <c r="G261" s="6">
        <v>1</v>
      </c>
      <c r="H261" s="6">
        <v>22.55</v>
      </c>
    </row>
    <row r="262" spans="1:8" ht="15.6" x14ac:dyDescent="0.3">
      <c r="A262" s="4" t="s">
        <v>292</v>
      </c>
      <c r="B262" s="5" t="s">
        <v>299</v>
      </c>
      <c r="C262" s="5" t="s">
        <v>19</v>
      </c>
      <c r="D262" s="5">
        <v>18</v>
      </c>
      <c r="E262" s="5">
        <v>10</v>
      </c>
      <c r="F262" s="5">
        <v>109</v>
      </c>
      <c r="G262" s="6">
        <v>2</v>
      </c>
      <c r="H262" s="6">
        <v>49.45</v>
      </c>
    </row>
    <row r="263" spans="1:8" ht="15.6" x14ac:dyDescent="0.3">
      <c r="A263" s="4" t="s">
        <v>292</v>
      </c>
      <c r="B263" s="5" t="s">
        <v>300</v>
      </c>
      <c r="C263" s="5" t="s">
        <v>21</v>
      </c>
      <c r="D263" s="5">
        <v>28</v>
      </c>
      <c r="E263" s="5">
        <v>7</v>
      </c>
      <c r="F263" s="5">
        <v>117</v>
      </c>
      <c r="G263" s="6">
        <v>3</v>
      </c>
      <c r="H263" s="6">
        <v>56.85</v>
      </c>
    </row>
    <row r="264" spans="1:8" ht="15.6" x14ac:dyDescent="0.3">
      <c r="A264" s="4" t="s">
        <v>301</v>
      </c>
      <c r="B264" s="5" t="s">
        <v>302</v>
      </c>
      <c r="C264" s="5" t="s">
        <v>19</v>
      </c>
      <c r="D264" s="5">
        <v>50</v>
      </c>
      <c r="E264" s="5">
        <v>2</v>
      </c>
      <c r="F264" s="5">
        <v>14</v>
      </c>
      <c r="G264" s="6">
        <v>0</v>
      </c>
      <c r="H264" s="6">
        <v>54.7</v>
      </c>
    </row>
    <row r="265" spans="1:8" ht="15.6" x14ac:dyDescent="0.3">
      <c r="A265" s="4" t="s">
        <v>301</v>
      </c>
      <c r="B265" s="5" t="s">
        <v>303</v>
      </c>
      <c r="C265" s="5" t="s">
        <v>9</v>
      </c>
      <c r="D265" s="5">
        <v>0</v>
      </c>
      <c r="E265" s="5">
        <v>5</v>
      </c>
      <c r="F265" s="5">
        <v>61</v>
      </c>
      <c r="G265" s="6">
        <v>0</v>
      </c>
      <c r="H265" s="6">
        <v>13.05</v>
      </c>
    </row>
    <row r="266" spans="1:8" ht="15.6" x14ac:dyDescent="0.3">
      <c r="A266" s="4" t="s">
        <v>301</v>
      </c>
      <c r="B266" s="5" t="s">
        <v>304</v>
      </c>
      <c r="C266" s="5" t="s">
        <v>19</v>
      </c>
      <c r="D266" s="5">
        <v>24</v>
      </c>
      <c r="E266" s="5">
        <v>10</v>
      </c>
      <c r="F266" s="5">
        <v>55</v>
      </c>
      <c r="G266" s="6">
        <v>1</v>
      </c>
      <c r="H266" s="6">
        <v>49.75</v>
      </c>
    </row>
    <row r="267" spans="1:8" ht="15.6" x14ac:dyDescent="0.3">
      <c r="A267" s="4" t="s">
        <v>301</v>
      </c>
      <c r="B267" s="5" t="s">
        <v>305</v>
      </c>
      <c r="C267" s="5" t="s">
        <v>21</v>
      </c>
      <c r="D267" s="5">
        <v>4</v>
      </c>
      <c r="E267" s="5">
        <v>8</v>
      </c>
      <c r="F267" s="5">
        <v>79</v>
      </c>
      <c r="G267" s="6">
        <v>4</v>
      </c>
      <c r="H267" s="6">
        <v>35.950000000000003</v>
      </c>
    </row>
    <row r="268" spans="1:8" ht="15.6" x14ac:dyDescent="0.3">
      <c r="A268" s="4" t="s">
        <v>301</v>
      </c>
      <c r="B268" s="5" t="s">
        <v>306</v>
      </c>
      <c r="C268" s="5" t="s">
        <v>12</v>
      </c>
      <c r="D268" s="5">
        <v>30</v>
      </c>
      <c r="E268" s="5">
        <v>2</v>
      </c>
      <c r="F268" s="5">
        <v>113</v>
      </c>
      <c r="G268" s="6">
        <v>4</v>
      </c>
      <c r="H268" s="6">
        <v>51.65</v>
      </c>
    </row>
    <row r="269" spans="1:8" ht="15.6" x14ac:dyDescent="0.3">
      <c r="A269" s="4" t="s">
        <v>301</v>
      </c>
      <c r="B269" s="5" t="s">
        <v>307</v>
      </c>
      <c r="C269" s="5" t="s">
        <v>15</v>
      </c>
      <c r="D269" s="5">
        <v>46</v>
      </c>
      <c r="E269" s="5">
        <v>7</v>
      </c>
      <c r="F269" s="5">
        <v>84</v>
      </c>
      <c r="G269" s="6">
        <v>0</v>
      </c>
      <c r="H269" s="6">
        <v>64.2</v>
      </c>
    </row>
    <row r="270" spans="1:8" ht="15.6" x14ac:dyDescent="0.3">
      <c r="A270" s="4" t="s">
        <v>301</v>
      </c>
      <c r="B270" s="5" t="s">
        <v>308</v>
      </c>
      <c r="C270" s="5" t="s">
        <v>19</v>
      </c>
      <c r="D270" s="5">
        <v>7</v>
      </c>
      <c r="E270" s="5">
        <v>0</v>
      </c>
      <c r="F270" s="5">
        <v>101</v>
      </c>
      <c r="G270" s="6">
        <v>0</v>
      </c>
      <c r="H270" s="6">
        <v>12.05</v>
      </c>
    </row>
    <row r="271" spans="1:8" ht="15.6" x14ac:dyDescent="0.3">
      <c r="A271" s="4" t="s">
        <v>301</v>
      </c>
      <c r="B271" s="5" t="s">
        <v>309</v>
      </c>
      <c r="C271" s="5" t="s">
        <v>9</v>
      </c>
      <c r="D271" s="5">
        <v>46</v>
      </c>
      <c r="E271" s="5">
        <v>10</v>
      </c>
      <c r="F271" s="5">
        <v>89</v>
      </c>
      <c r="G271" s="6">
        <v>0</v>
      </c>
      <c r="H271" s="6">
        <v>70.45</v>
      </c>
    </row>
    <row r="272" spans="1:8" ht="15.6" x14ac:dyDescent="0.3">
      <c r="A272" s="4" t="s">
        <v>301</v>
      </c>
      <c r="B272" s="5" t="s">
        <v>310</v>
      </c>
      <c r="C272" s="5" t="s">
        <v>9</v>
      </c>
      <c r="D272" s="5">
        <v>1</v>
      </c>
      <c r="E272" s="5">
        <v>10</v>
      </c>
      <c r="F272" s="5">
        <v>18</v>
      </c>
      <c r="G272" s="6">
        <v>1</v>
      </c>
      <c r="H272" s="6">
        <v>24.9</v>
      </c>
    </row>
    <row r="273" spans="1:8" ht="15.6" x14ac:dyDescent="0.3">
      <c r="A273" s="4" t="s">
        <v>301</v>
      </c>
      <c r="B273" s="5" t="s">
        <v>311</v>
      </c>
      <c r="C273" s="5" t="s">
        <v>12</v>
      </c>
      <c r="D273" s="5">
        <v>27</v>
      </c>
      <c r="E273" s="5">
        <v>4</v>
      </c>
      <c r="F273" s="5">
        <v>34</v>
      </c>
      <c r="G273" s="6">
        <v>0</v>
      </c>
      <c r="H273" s="6">
        <v>36.700000000000003</v>
      </c>
    </row>
    <row r="274" spans="1:8" ht="15.6" x14ac:dyDescent="0.3">
      <c r="A274" s="4" t="s">
        <v>301</v>
      </c>
      <c r="B274" s="5" t="s">
        <v>312</v>
      </c>
      <c r="C274" s="5" t="s">
        <v>15</v>
      </c>
      <c r="D274" s="5">
        <v>46</v>
      </c>
      <c r="E274" s="5">
        <v>1</v>
      </c>
      <c r="F274" s="5">
        <v>89</v>
      </c>
      <c r="G274" s="6">
        <v>4</v>
      </c>
      <c r="H274" s="6">
        <v>64.45</v>
      </c>
    </row>
    <row r="275" spans="1:8" ht="15.6" x14ac:dyDescent="0.3">
      <c r="A275" s="4" t="s">
        <v>301</v>
      </c>
      <c r="B275" s="5" t="s">
        <v>313</v>
      </c>
      <c r="C275" s="5" t="s">
        <v>12</v>
      </c>
      <c r="D275" s="5">
        <v>16</v>
      </c>
      <c r="E275" s="5">
        <v>3</v>
      </c>
      <c r="F275" s="5">
        <v>73</v>
      </c>
      <c r="G275" s="6">
        <v>0</v>
      </c>
      <c r="H275" s="6">
        <v>25.65</v>
      </c>
    </row>
    <row r="276" spans="1:8" ht="15.6" x14ac:dyDescent="0.3">
      <c r="A276" s="4" t="s">
        <v>301</v>
      </c>
      <c r="B276" s="5" t="s">
        <v>314</v>
      </c>
      <c r="C276" s="5" t="s">
        <v>12</v>
      </c>
      <c r="D276" s="5">
        <v>41</v>
      </c>
      <c r="E276" s="5">
        <v>9</v>
      </c>
      <c r="F276" s="5">
        <v>117</v>
      </c>
      <c r="G276" s="6">
        <v>5</v>
      </c>
      <c r="H276" s="6">
        <v>79.849999999999994</v>
      </c>
    </row>
    <row r="277" spans="1:8" ht="15.6" x14ac:dyDescent="0.3">
      <c r="A277" s="4" t="s">
        <v>301</v>
      </c>
      <c r="B277" s="5" t="s">
        <v>315</v>
      </c>
      <c r="C277" s="5" t="s">
        <v>19</v>
      </c>
      <c r="D277" s="5">
        <v>10</v>
      </c>
      <c r="E277" s="5">
        <v>2</v>
      </c>
      <c r="F277" s="5">
        <v>67</v>
      </c>
      <c r="G277" s="6">
        <v>3</v>
      </c>
      <c r="H277" s="6">
        <v>26.35</v>
      </c>
    </row>
    <row r="278" spans="1:8" ht="15.6" x14ac:dyDescent="0.3">
      <c r="A278" s="4" t="s">
        <v>316</v>
      </c>
      <c r="B278" s="5" t="s">
        <v>317</v>
      </c>
      <c r="C278" s="5" t="s">
        <v>21</v>
      </c>
      <c r="D278" s="5">
        <v>21</v>
      </c>
      <c r="E278" s="5">
        <v>0</v>
      </c>
      <c r="F278" s="5">
        <v>91</v>
      </c>
      <c r="G278" s="6">
        <v>1</v>
      </c>
      <c r="H278" s="6">
        <v>28.55</v>
      </c>
    </row>
    <row r="279" spans="1:8" ht="15.6" x14ac:dyDescent="0.3">
      <c r="A279" s="4" t="s">
        <v>316</v>
      </c>
      <c r="B279" s="5" t="s">
        <v>318</v>
      </c>
      <c r="C279" s="5" t="s">
        <v>21</v>
      </c>
      <c r="D279" s="5">
        <v>43</v>
      </c>
      <c r="E279" s="5">
        <v>9</v>
      </c>
      <c r="F279" s="5">
        <v>34</v>
      </c>
      <c r="G279" s="6">
        <v>0</v>
      </c>
      <c r="H279" s="6">
        <v>62.7</v>
      </c>
    </row>
    <row r="280" spans="1:8" ht="15.6" x14ac:dyDescent="0.3">
      <c r="A280" s="4" t="s">
        <v>316</v>
      </c>
      <c r="B280" s="5" t="s">
        <v>319</v>
      </c>
      <c r="C280" s="5" t="s">
        <v>9</v>
      </c>
      <c r="D280" s="5">
        <v>33</v>
      </c>
      <c r="E280" s="5">
        <v>7</v>
      </c>
      <c r="F280" s="5">
        <v>4</v>
      </c>
      <c r="G280" s="6">
        <v>2</v>
      </c>
      <c r="H280" s="6">
        <v>53.2</v>
      </c>
    </row>
    <row r="281" spans="1:8" ht="15.6" x14ac:dyDescent="0.3">
      <c r="A281" s="4" t="s">
        <v>316</v>
      </c>
      <c r="B281" s="5" t="s">
        <v>320</v>
      </c>
      <c r="C281" s="5" t="s">
        <v>9</v>
      </c>
      <c r="D281" s="5">
        <v>26</v>
      </c>
      <c r="E281" s="5">
        <v>5</v>
      </c>
      <c r="F281" s="5">
        <v>43</v>
      </c>
      <c r="G281" s="6">
        <v>1</v>
      </c>
      <c r="H281" s="6">
        <v>41.15</v>
      </c>
    </row>
    <row r="282" spans="1:8" ht="15.6" x14ac:dyDescent="0.3">
      <c r="A282" s="4" t="s">
        <v>316</v>
      </c>
      <c r="B282" s="5" t="s">
        <v>321</v>
      </c>
      <c r="C282" s="5" t="s">
        <v>21</v>
      </c>
      <c r="D282" s="5">
        <v>45</v>
      </c>
      <c r="E282" s="5">
        <v>10</v>
      </c>
      <c r="F282" s="5">
        <v>81</v>
      </c>
      <c r="G282" s="6">
        <v>4</v>
      </c>
      <c r="H282" s="6">
        <v>81.05</v>
      </c>
    </row>
    <row r="283" spans="1:8" ht="15.6" x14ac:dyDescent="0.3">
      <c r="A283" s="4" t="s">
        <v>316</v>
      </c>
      <c r="B283" s="5" t="s">
        <v>322</v>
      </c>
      <c r="C283" s="5" t="s">
        <v>19</v>
      </c>
      <c r="D283" s="5">
        <v>31</v>
      </c>
      <c r="E283" s="5">
        <v>10</v>
      </c>
      <c r="F283" s="5">
        <v>47</v>
      </c>
      <c r="G283" s="6">
        <v>5</v>
      </c>
      <c r="H283" s="6">
        <v>68.349999999999994</v>
      </c>
    </row>
    <row r="284" spans="1:8" ht="15.6" x14ac:dyDescent="0.3">
      <c r="A284" s="4" t="s">
        <v>316</v>
      </c>
      <c r="B284" s="5" t="s">
        <v>323</v>
      </c>
      <c r="C284" s="5" t="s">
        <v>9</v>
      </c>
      <c r="D284" s="5">
        <v>2</v>
      </c>
      <c r="E284" s="5">
        <v>7</v>
      </c>
      <c r="F284" s="5">
        <v>93</v>
      </c>
      <c r="G284" s="6">
        <v>2</v>
      </c>
      <c r="H284" s="6">
        <v>26.65</v>
      </c>
    </row>
    <row r="285" spans="1:8" ht="15.6" x14ac:dyDescent="0.3">
      <c r="A285" s="4" t="s">
        <v>316</v>
      </c>
      <c r="B285" s="5" t="s">
        <v>324</v>
      </c>
      <c r="C285" s="5" t="s">
        <v>9</v>
      </c>
      <c r="D285" s="5">
        <v>34</v>
      </c>
      <c r="E285" s="5">
        <v>3</v>
      </c>
      <c r="F285" s="5">
        <v>12</v>
      </c>
      <c r="G285" s="6">
        <v>0</v>
      </c>
      <c r="H285" s="6">
        <v>40.6</v>
      </c>
    </row>
    <row r="286" spans="1:8" ht="15.6" x14ac:dyDescent="0.3">
      <c r="A286" s="4" t="s">
        <v>316</v>
      </c>
      <c r="B286" s="5" t="s">
        <v>325</v>
      </c>
      <c r="C286" s="5" t="s">
        <v>19</v>
      </c>
      <c r="D286" s="5">
        <v>22</v>
      </c>
      <c r="E286" s="5">
        <v>10</v>
      </c>
      <c r="F286" s="5">
        <v>41</v>
      </c>
      <c r="G286" s="6">
        <v>2</v>
      </c>
      <c r="H286" s="6">
        <v>50.05</v>
      </c>
    </row>
    <row r="287" spans="1:8" ht="15.6" x14ac:dyDescent="0.3">
      <c r="A287" s="4" t="s">
        <v>316</v>
      </c>
      <c r="B287" s="5" t="s">
        <v>326</v>
      </c>
      <c r="C287" s="5" t="s">
        <v>15</v>
      </c>
      <c r="D287" s="5">
        <v>0</v>
      </c>
      <c r="E287" s="5">
        <v>1</v>
      </c>
      <c r="F287" s="5">
        <v>96</v>
      </c>
      <c r="G287" s="6">
        <v>4</v>
      </c>
      <c r="H287" s="6">
        <v>18.8</v>
      </c>
    </row>
    <row r="288" spans="1:8" ht="15.6" x14ac:dyDescent="0.3">
      <c r="A288" s="4" t="s">
        <v>316</v>
      </c>
      <c r="B288" s="5" t="s">
        <v>327</v>
      </c>
      <c r="C288" s="5" t="s">
        <v>15</v>
      </c>
      <c r="D288" s="5">
        <v>10</v>
      </c>
      <c r="E288" s="5">
        <v>2</v>
      </c>
      <c r="F288" s="5">
        <v>40</v>
      </c>
      <c r="G288" s="6">
        <v>1</v>
      </c>
      <c r="H288" s="6">
        <v>19</v>
      </c>
    </row>
    <row r="289" spans="1:8" ht="15.6" x14ac:dyDescent="0.3">
      <c r="A289" s="4" t="s">
        <v>328</v>
      </c>
      <c r="B289" s="5" t="s">
        <v>329</v>
      </c>
      <c r="C289" s="5" t="s">
        <v>21</v>
      </c>
      <c r="D289" s="5">
        <v>30</v>
      </c>
      <c r="E289" s="5">
        <v>0</v>
      </c>
      <c r="F289" s="5">
        <v>38</v>
      </c>
      <c r="G289" s="6">
        <v>3</v>
      </c>
      <c r="H289" s="6">
        <v>40.9</v>
      </c>
    </row>
    <row r="290" spans="1:8" ht="15.6" x14ac:dyDescent="0.3">
      <c r="A290" s="4" t="s">
        <v>328</v>
      </c>
      <c r="B290" s="5" t="s">
        <v>330</v>
      </c>
      <c r="C290" s="5" t="s">
        <v>19</v>
      </c>
      <c r="D290" s="5">
        <v>38</v>
      </c>
      <c r="E290" s="5">
        <v>8</v>
      </c>
      <c r="F290" s="5">
        <v>38</v>
      </c>
      <c r="G290" s="6">
        <v>1</v>
      </c>
      <c r="H290" s="6">
        <v>58.9</v>
      </c>
    </row>
    <row r="291" spans="1:8" ht="15.6" x14ac:dyDescent="0.3">
      <c r="A291" s="4" t="s">
        <v>328</v>
      </c>
      <c r="B291" s="5" t="s">
        <v>331</v>
      </c>
      <c r="C291" s="5" t="s">
        <v>12</v>
      </c>
      <c r="D291" s="5">
        <v>14</v>
      </c>
      <c r="E291" s="5">
        <v>5</v>
      </c>
      <c r="F291" s="5">
        <v>28</v>
      </c>
      <c r="G291" s="6">
        <v>2</v>
      </c>
      <c r="H291" s="6">
        <v>31.4</v>
      </c>
    </row>
    <row r="292" spans="1:8" ht="15.6" x14ac:dyDescent="0.3">
      <c r="A292" s="4" t="s">
        <v>328</v>
      </c>
      <c r="B292" s="5" t="s">
        <v>332</v>
      </c>
      <c r="C292" s="5" t="s">
        <v>12</v>
      </c>
      <c r="D292" s="5">
        <v>26</v>
      </c>
      <c r="E292" s="5">
        <v>1</v>
      </c>
      <c r="F292" s="5">
        <v>48</v>
      </c>
      <c r="G292" s="6">
        <v>2</v>
      </c>
      <c r="H292" s="6">
        <v>36.4</v>
      </c>
    </row>
    <row r="293" spans="1:8" ht="15.6" x14ac:dyDescent="0.3">
      <c r="A293" s="4" t="s">
        <v>328</v>
      </c>
      <c r="B293" s="5" t="s">
        <v>333</v>
      </c>
      <c r="C293" s="5" t="s">
        <v>19</v>
      </c>
      <c r="D293" s="5">
        <v>28</v>
      </c>
      <c r="E293" s="5">
        <v>10</v>
      </c>
      <c r="F293" s="5">
        <v>33</v>
      </c>
      <c r="G293" s="6">
        <v>1</v>
      </c>
      <c r="H293" s="6">
        <v>52.65</v>
      </c>
    </row>
    <row r="294" spans="1:8" ht="15.6" x14ac:dyDescent="0.3">
      <c r="A294" s="4" t="s">
        <v>328</v>
      </c>
      <c r="B294" s="5" t="s">
        <v>334</v>
      </c>
      <c r="C294" s="5" t="s">
        <v>15</v>
      </c>
      <c r="D294" s="5">
        <v>32</v>
      </c>
      <c r="E294" s="5">
        <v>2</v>
      </c>
      <c r="F294" s="5">
        <v>110</v>
      </c>
      <c r="G294" s="6">
        <v>1</v>
      </c>
      <c r="H294" s="6">
        <v>44.5</v>
      </c>
    </row>
    <row r="295" spans="1:8" ht="15.6" x14ac:dyDescent="0.3">
      <c r="A295" s="4" t="s">
        <v>328</v>
      </c>
      <c r="B295" s="5" t="s">
        <v>335</v>
      </c>
      <c r="C295" s="5" t="s">
        <v>21</v>
      </c>
      <c r="D295" s="5">
        <v>36</v>
      </c>
      <c r="E295" s="5">
        <v>10</v>
      </c>
      <c r="F295" s="5">
        <v>88</v>
      </c>
      <c r="G295" s="6">
        <v>3</v>
      </c>
      <c r="H295" s="6">
        <v>69.400000000000006</v>
      </c>
    </row>
    <row r="296" spans="1:8" ht="15.6" x14ac:dyDescent="0.3">
      <c r="A296" s="4" t="s">
        <v>328</v>
      </c>
      <c r="B296" s="5" t="s">
        <v>336</v>
      </c>
      <c r="C296" s="5" t="s">
        <v>23</v>
      </c>
      <c r="D296" s="5">
        <v>20</v>
      </c>
      <c r="E296" s="5">
        <v>7</v>
      </c>
      <c r="F296" s="5">
        <v>77</v>
      </c>
      <c r="G296" s="6">
        <v>3</v>
      </c>
      <c r="H296" s="6">
        <v>46.85</v>
      </c>
    </row>
    <row r="297" spans="1:8" ht="15.6" x14ac:dyDescent="0.3">
      <c r="A297" s="4" t="s">
        <v>328</v>
      </c>
      <c r="B297" s="5" t="s">
        <v>337</v>
      </c>
      <c r="C297" s="5" t="s">
        <v>15</v>
      </c>
      <c r="D297" s="5">
        <v>24</v>
      </c>
      <c r="E297" s="5">
        <v>3</v>
      </c>
      <c r="F297" s="5">
        <v>84</v>
      </c>
      <c r="G297" s="6">
        <v>4</v>
      </c>
      <c r="H297" s="6">
        <v>46.2</v>
      </c>
    </row>
    <row r="298" spans="1:8" ht="15.6" x14ac:dyDescent="0.3">
      <c r="A298" s="4" t="s">
        <v>328</v>
      </c>
      <c r="B298" s="5" t="s">
        <v>338</v>
      </c>
      <c r="C298" s="5" t="s">
        <v>15</v>
      </c>
      <c r="D298" s="5">
        <v>39</v>
      </c>
      <c r="E298" s="5">
        <v>6</v>
      </c>
      <c r="F298" s="5">
        <v>1</v>
      </c>
      <c r="G298" s="6">
        <v>5</v>
      </c>
      <c r="H298" s="6">
        <v>66.05</v>
      </c>
    </row>
    <row r="299" spans="1:8" ht="15.6" x14ac:dyDescent="0.3">
      <c r="A299" s="4" t="s">
        <v>339</v>
      </c>
      <c r="B299" s="5" t="s">
        <v>340</v>
      </c>
      <c r="C299" s="5" t="s">
        <v>9</v>
      </c>
      <c r="D299" s="5">
        <v>8</v>
      </c>
      <c r="E299" s="5">
        <v>10</v>
      </c>
      <c r="F299" s="5">
        <v>44</v>
      </c>
      <c r="G299" s="6">
        <v>3</v>
      </c>
      <c r="H299" s="6">
        <v>39.200000000000003</v>
      </c>
    </row>
    <row r="300" spans="1:8" ht="15.6" x14ac:dyDescent="0.3">
      <c r="A300" s="4" t="s">
        <v>339</v>
      </c>
      <c r="B300" s="5" t="s">
        <v>341</v>
      </c>
      <c r="C300" s="5" t="s">
        <v>15</v>
      </c>
      <c r="D300" s="5">
        <v>33</v>
      </c>
      <c r="E300" s="5">
        <v>3</v>
      </c>
      <c r="F300" s="5">
        <v>32</v>
      </c>
      <c r="G300" s="6">
        <v>3</v>
      </c>
      <c r="H300" s="6">
        <v>49.6</v>
      </c>
    </row>
    <row r="301" spans="1:8" ht="15.6" x14ac:dyDescent="0.3">
      <c r="A301" s="4" t="s">
        <v>339</v>
      </c>
      <c r="B301" s="5" t="s">
        <v>342</v>
      </c>
      <c r="C301" s="5" t="s">
        <v>21</v>
      </c>
      <c r="D301" s="5">
        <v>13</v>
      </c>
      <c r="E301" s="5">
        <v>4</v>
      </c>
      <c r="F301" s="5">
        <v>62</v>
      </c>
      <c r="G301" s="6">
        <v>1</v>
      </c>
      <c r="H301" s="6">
        <v>27.1</v>
      </c>
    </row>
    <row r="302" spans="1:8" ht="15.6" x14ac:dyDescent="0.3">
      <c r="A302" s="4" t="s">
        <v>339</v>
      </c>
      <c r="B302" s="5" t="s">
        <v>343</v>
      </c>
      <c r="C302" s="5" t="s">
        <v>15</v>
      </c>
      <c r="D302" s="5">
        <v>17</v>
      </c>
      <c r="E302" s="5">
        <v>5</v>
      </c>
      <c r="F302" s="5">
        <v>6</v>
      </c>
      <c r="G302" s="6">
        <v>5</v>
      </c>
      <c r="H302" s="6">
        <v>42.3</v>
      </c>
    </row>
    <row r="303" spans="1:8" ht="15.6" x14ac:dyDescent="0.3">
      <c r="A303" s="4" t="s">
        <v>344</v>
      </c>
      <c r="B303" s="5" t="s">
        <v>345</v>
      </c>
      <c r="C303" s="5" t="s">
        <v>12</v>
      </c>
      <c r="D303" s="5">
        <v>14</v>
      </c>
      <c r="E303" s="5">
        <v>6</v>
      </c>
      <c r="F303" s="5">
        <v>97</v>
      </c>
      <c r="G303" s="6">
        <v>3</v>
      </c>
      <c r="H303" s="6">
        <v>39.85</v>
      </c>
    </row>
    <row r="304" spans="1:8" ht="15.6" x14ac:dyDescent="0.3">
      <c r="A304" s="4" t="s">
        <v>344</v>
      </c>
      <c r="B304" s="5" t="s">
        <v>346</v>
      </c>
      <c r="C304" s="5" t="s">
        <v>19</v>
      </c>
      <c r="D304" s="5">
        <v>32</v>
      </c>
      <c r="E304" s="5">
        <v>10</v>
      </c>
      <c r="F304" s="5">
        <v>28</v>
      </c>
      <c r="G304" s="6">
        <v>2</v>
      </c>
      <c r="H304" s="6">
        <v>59.4</v>
      </c>
    </row>
    <row r="305" spans="1:8" ht="15.6" x14ac:dyDescent="0.3">
      <c r="A305" s="4" t="s">
        <v>344</v>
      </c>
      <c r="B305" s="5" t="s">
        <v>347</v>
      </c>
      <c r="C305" s="5" t="s">
        <v>21</v>
      </c>
      <c r="D305" s="5">
        <v>21</v>
      </c>
      <c r="E305" s="5">
        <v>9</v>
      </c>
      <c r="F305" s="5">
        <v>22</v>
      </c>
      <c r="G305" s="6">
        <v>5</v>
      </c>
      <c r="H305" s="6">
        <v>55.1</v>
      </c>
    </row>
    <row r="306" spans="1:8" ht="15.6" x14ac:dyDescent="0.3">
      <c r="A306" s="4" t="s">
        <v>344</v>
      </c>
      <c r="B306" s="5" t="s">
        <v>348</v>
      </c>
      <c r="C306" s="5" t="s">
        <v>19</v>
      </c>
      <c r="D306" s="5">
        <v>9</v>
      </c>
      <c r="E306" s="5">
        <v>4</v>
      </c>
      <c r="F306" s="5">
        <v>112</v>
      </c>
      <c r="G306" s="6">
        <v>5</v>
      </c>
      <c r="H306" s="6">
        <v>37.6</v>
      </c>
    </row>
    <row r="307" spans="1:8" ht="15.6" x14ac:dyDescent="0.3">
      <c r="A307" s="4" t="s">
        <v>344</v>
      </c>
      <c r="B307" s="5" t="s">
        <v>349</v>
      </c>
      <c r="C307" s="5" t="s">
        <v>23</v>
      </c>
      <c r="D307" s="5">
        <v>39</v>
      </c>
      <c r="E307" s="5">
        <v>1</v>
      </c>
      <c r="F307" s="5">
        <v>75</v>
      </c>
      <c r="G307" s="6">
        <v>5</v>
      </c>
      <c r="H307" s="6">
        <v>59.75</v>
      </c>
    </row>
    <row r="308" spans="1:8" ht="15.6" x14ac:dyDescent="0.3">
      <c r="A308" s="4" t="s">
        <v>344</v>
      </c>
      <c r="B308" s="5" t="s">
        <v>350</v>
      </c>
      <c r="C308" s="5" t="s">
        <v>9</v>
      </c>
      <c r="D308" s="5">
        <v>11</v>
      </c>
      <c r="E308" s="5">
        <v>5</v>
      </c>
      <c r="F308" s="5">
        <v>65</v>
      </c>
      <c r="G308" s="6">
        <v>1</v>
      </c>
      <c r="H308" s="6">
        <v>27.25</v>
      </c>
    </row>
    <row r="309" spans="1:8" ht="15.6" x14ac:dyDescent="0.3">
      <c r="A309" s="4" t="s">
        <v>344</v>
      </c>
      <c r="B309" s="5" t="s">
        <v>351</v>
      </c>
      <c r="C309" s="5" t="s">
        <v>9</v>
      </c>
      <c r="D309" s="5">
        <v>7</v>
      </c>
      <c r="E309" s="5">
        <v>4</v>
      </c>
      <c r="F309" s="5">
        <v>40</v>
      </c>
      <c r="G309" s="6">
        <v>4</v>
      </c>
      <c r="H309" s="6">
        <v>29</v>
      </c>
    </row>
    <row r="310" spans="1:8" ht="15.6" x14ac:dyDescent="0.3">
      <c r="A310" s="4" t="s">
        <v>344</v>
      </c>
      <c r="B310" s="5" t="s">
        <v>352</v>
      </c>
      <c r="C310" s="5" t="s">
        <v>21</v>
      </c>
      <c r="D310" s="5">
        <v>48</v>
      </c>
      <c r="E310" s="5">
        <v>0</v>
      </c>
      <c r="F310" s="5">
        <v>47</v>
      </c>
      <c r="G310" s="6">
        <v>0</v>
      </c>
      <c r="H310" s="6">
        <v>50.35</v>
      </c>
    </row>
    <row r="311" spans="1:8" ht="15.6" x14ac:dyDescent="0.3">
      <c r="A311" s="4" t="s">
        <v>344</v>
      </c>
      <c r="B311" s="5" t="s">
        <v>353</v>
      </c>
      <c r="C311" s="5" t="s">
        <v>21</v>
      </c>
      <c r="D311" s="5">
        <v>8</v>
      </c>
      <c r="E311" s="5">
        <v>5</v>
      </c>
      <c r="F311" s="5">
        <v>53</v>
      </c>
      <c r="G311" s="6">
        <v>0</v>
      </c>
      <c r="H311" s="6">
        <v>20.65</v>
      </c>
    </row>
    <row r="312" spans="1:8" ht="15.6" x14ac:dyDescent="0.3">
      <c r="A312" s="4" t="s">
        <v>344</v>
      </c>
      <c r="B312" s="5" t="s">
        <v>354</v>
      </c>
      <c r="C312" s="5" t="s">
        <v>12</v>
      </c>
      <c r="D312" s="5">
        <v>21</v>
      </c>
      <c r="E312" s="5">
        <v>9</v>
      </c>
      <c r="F312" s="5">
        <v>45</v>
      </c>
      <c r="G312" s="6">
        <v>0</v>
      </c>
      <c r="H312" s="6">
        <v>41.25</v>
      </c>
    </row>
    <row r="313" spans="1:8" ht="15.6" x14ac:dyDescent="0.3">
      <c r="A313" s="4" t="s">
        <v>344</v>
      </c>
      <c r="B313" s="5" t="s">
        <v>355</v>
      </c>
      <c r="C313" s="5" t="s">
        <v>9</v>
      </c>
      <c r="D313" s="5">
        <v>15</v>
      </c>
      <c r="E313" s="5">
        <v>3</v>
      </c>
      <c r="F313" s="5">
        <v>60</v>
      </c>
      <c r="G313" s="6">
        <v>4</v>
      </c>
      <c r="H313" s="6">
        <v>36</v>
      </c>
    </row>
    <row r="314" spans="1:8" ht="15.6" x14ac:dyDescent="0.3">
      <c r="A314" s="4" t="s">
        <v>344</v>
      </c>
      <c r="B314" s="5" t="s">
        <v>356</v>
      </c>
      <c r="C314" s="5" t="s">
        <v>12</v>
      </c>
      <c r="D314" s="5">
        <v>20</v>
      </c>
      <c r="E314" s="5">
        <v>1</v>
      </c>
      <c r="F314" s="5">
        <v>105</v>
      </c>
      <c r="G314" s="6">
        <v>4</v>
      </c>
      <c r="H314" s="6">
        <v>39.25</v>
      </c>
    </row>
    <row r="315" spans="1:8" ht="15.6" x14ac:dyDescent="0.3">
      <c r="A315" s="4" t="s">
        <v>344</v>
      </c>
      <c r="B315" s="5" t="s">
        <v>357</v>
      </c>
      <c r="C315" s="5" t="s">
        <v>9</v>
      </c>
      <c r="D315" s="5">
        <v>16</v>
      </c>
      <c r="E315" s="5">
        <v>6</v>
      </c>
      <c r="F315" s="5">
        <v>113</v>
      </c>
      <c r="G315" s="6">
        <v>5</v>
      </c>
      <c r="H315" s="6">
        <v>48.65</v>
      </c>
    </row>
    <row r="316" spans="1:8" ht="15.6" x14ac:dyDescent="0.3">
      <c r="A316" s="4" t="s">
        <v>344</v>
      </c>
      <c r="B316" s="5" t="s">
        <v>358</v>
      </c>
      <c r="C316" s="5" t="s">
        <v>15</v>
      </c>
      <c r="D316" s="5">
        <v>17</v>
      </c>
      <c r="E316" s="5">
        <v>1</v>
      </c>
      <c r="F316" s="5">
        <v>72</v>
      </c>
      <c r="G316" s="6">
        <v>0</v>
      </c>
      <c r="H316" s="6">
        <v>22.6</v>
      </c>
    </row>
    <row r="317" spans="1:8" ht="15.6" x14ac:dyDescent="0.3">
      <c r="A317" s="4" t="s">
        <v>344</v>
      </c>
      <c r="B317" s="5" t="s">
        <v>359</v>
      </c>
      <c r="C317" s="5" t="s">
        <v>9</v>
      </c>
      <c r="D317" s="5">
        <v>6</v>
      </c>
      <c r="E317" s="5">
        <v>2</v>
      </c>
      <c r="F317" s="5">
        <v>89</v>
      </c>
      <c r="G317" s="6">
        <v>3</v>
      </c>
      <c r="H317" s="6">
        <v>23.45</v>
      </c>
    </row>
    <row r="318" spans="1:8" ht="15.6" x14ac:dyDescent="0.3">
      <c r="A318" s="4" t="s">
        <v>360</v>
      </c>
      <c r="B318" s="5" t="s">
        <v>361</v>
      </c>
      <c r="C318" s="5" t="s">
        <v>12</v>
      </c>
      <c r="D318" s="5">
        <v>27</v>
      </c>
      <c r="E318" s="5">
        <v>7</v>
      </c>
      <c r="F318" s="5">
        <v>57</v>
      </c>
      <c r="G318" s="6">
        <v>4</v>
      </c>
      <c r="H318" s="6">
        <v>55.85</v>
      </c>
    </row>
    <row r="319" spans="1:8" ht="15.6" x14ac:dyDescent="0.3">
      <c r="A319" s="4" t="s">
        <v>360</v>
      </c>
      <c r="B319" s="5" t="s">
        <v>362</v>
      </c>
      <c r="C319" s="5" t="s">
        <v>23</v>
      </c>
      <c r="D319" s="5">
        <v>4</v>
      </c>
      <c r="E319" s="5">
        <v>1</v>
      </c>
      <c r="F319" s="5">
        <v>36</v>
      </c>
      <c r="G319" s="6">
        <v>5</v>
      </c>
      <c r="H319" s="6">
        <v>22.8</v>
      </c>
    </row>
    <row r="320" spans="1:8" ht="15.6" x14ac:dyDescent="0.3">
      <c r="A320" s="4" t="s">
        <v>360</v>
      </c>
      <c r="B320" s="5" t="s">
        <v>363</v>
      </c>
      <c r="C320" s="5" t="s">
        <v>19</v>
      </c>
      <c r="D320" s="5">
        <v>7</v>
      </c>
      <c r="E320" s="5">
        <v>7</v>
      </c>
      <c r="F320" s="5">
        <v>60</v>
      </c>
      <c r="G320" s="6">
        <v>5</v>
      </c>
      <c r="H320" s="6">
        <v>39</v>
      </c>
    </row>
    <row r="321" spans="1:8" ht="15.6" x14ac:dyDescent="0.3">
      <c r="A321" s="4" t="s">
        <v>360</v>
      </c>
      <c r="B321" s="5" t="s">
        <v>364</v>
      </c>
      <c r="C321" s="5" t="s">
        <v>23</v>
      </c>
      <c r="D321" s="5">
        <v>46</v>
      </c>
      <c r="E321" s="5">
        <v>3</v>
      </c>
      <c r="F321" s="5">
        <v>85</v>
      </c>
      <c r="G321" s="6">
        <v>0</v>
      </c>
      <c r="H321" s="6">
        <v>56.25</v>
      </c>
    </row>
    <row r="322" spans="1:8" ht="15.6" x14ac:dyDescent="0.3">
      <c r="A322" s="4" t="s">
        <v>360</v>
      </c>
      <c r="B322" s="5" t="s">
        <v>365</v>
      </c>
      <c r="C322" s="5" t="s">
        <v>21</v>
      </c>
      <c r="D322" s="5">
        <v>42</v>
      </c>
      <c r="E322" s="5">
        <v>5</v>
      </c>
      <c r="F322" s="5">
        <v>16</v>
      </c>
      <c r="G322" s="6">
        <v>5</v>
      </c>
      <c r="H322" s="6">
        <v>67.8</v>
      </c>
    </row>
    <row r="323" spans="1:8" ht="15.6" x14ac:dyDescent="0.3">
      <c r="A323" s="4" t="s">
        <v>360</v>
      </c>
      <c r="B323" s="5" t="s">
        <v>366</v>
      </c>
      <c r="C323" s="5" t="s">
        <v>23</v>
      </c>
      <c r="D323" s="5">
        <v>43</v>
      </c>
      <c r="E323" s="5">
        <v>7</v>
      </c>
      <c r="F323" s="5">
        <v>113</v>
      </c>
      <c r="G323" s="6">
        <v>1</v>
      </c>
      <c r="H323" s="6">
        <v>65.650000000000006</v>
      </c>
    </row>
    <row r="324" spans="1:8" ht="15.6" x14ac:dyDescent="0.3">
      <c r="A324" s="4" t="s">
        <v>360</v>
      </c>
      <c r="B324" s="5" t="s">
        <v>367</v>
      </c>
      <c r="C324" s="5" t="s">
        <v>21</v>
      </c>
      <c r="D324" s="5">
        <v>45</v>
      </c>
      <c r="E324" s="5">
        <v>7</v>
      </c>
      <c r="F324" s="5">
        <v>101</v>
      </c>
      <c r="G324" s="6">
        <v>3</v>
      </c>
      <c r="H324" s="6">
        <v>73.05</v>
      </c>
    </row>
    <row r="325" spans="1:8" ht="15.6" x14ac:dyDescent="0.3">
      <c r="A325" s="4" t="s">
        <v>360</v>
      </c>
      <c r="B325" s="5" t="s">
        <v>368</v>
      </c>
      <c r="C325" s="5" t="s">
        <v>23</v>
      </c>
      <c r="D325" s="5">
        <v>25</v>
      </c>
      <c r="E325" s="5">
        <v>10</v>
      </c>
      <c r="F325" s="5">
        <v>84</v>
      </c>
      <c r="G325" s="6">
        <v>0</v>
      </c>
      <c r="H325" s="6">
        <v>49.2</v>
      </c>
    </row>
    <row r="326" spans="1:8" ht="15.6" x14ac:dyDescent="0.3">
      <c r="A326" s="4" t="s">
        <v>360</v>
      </c>
      <c r="B326" s="5" t="s">
        <v>369</v>
      </c>
      <c r="C326" s="5" t="s">
        <v>21</v>
      </c>
      <c r="D326" s="5">
        <v>48</v>
      </c>
      <c r="E326" s="5">
        <v>10</v>
      </c>
      <c r="F326" s="5">
        <v>116</v>
      </c>
      <c r="G326" s="6">
        <v>1</v>
      </c>
      <c r="H326" s="6">
        <v>76.8</v>
      </c>
    </row>
    <row r="327" spans="1:8" ht="15.6" x14ac:dyDescent="0.3">
      <c r="A327" s="4" t="s">
        <v>360</v>
      </c>
      <c r="B327" s="5" t="s">
        <v>370</v>
      </c>
      <c r="C327" s="5" t="s">
        <v>23</v>
      </c>
      <c r="D327" s="5">
        <v>18</v>
      </c>
      <c r="E327" s="5">
        <v>9</v>
      </c>
      <c r="F327" s="5">
        <v>22</v>
      </c>
      <c r="G327" s="6">
        <v>2</v>
      </c>
      <c r="H327" s="6">
        <v>43.1</v>
      </c>
    </row>
    <row r="328" spans="1:8" ht="15.6" x14ac:dyDescent="0.3">
      <c r="A328" s="4" t="s">
        <v>360</v>
      </c>
      <c r="B328" s="5" t="s">
        <v>371</v>
      </c>
      <c r="C328" s="5" t="s">
        <v>9</v>
      </c>
      <c r="D328" s="5">
        <v>0</v>
      </c>
      <c r="E328" s="5">
        <v>9</v>
      </c>
      <c r="F328" s="5">
        <v>118</v>
      </c>
      <c r="G328" s="6">
        <v>3</v>
      </c>
      <c r="H328" s="6">
        <v>32.9</v>
      </c>
    </row>
    <row r="329" spans="1:8" ht="15.6" x14ac:dyDescent="0.3">
      <c r="A329" s="4" t="s">
        <v>360</v>
      </c>
      <c r="B329" s="5" t="s">
        <v>372</v>
      </c>
      <c r="C329" s="5" t="s">
        <v>12</v>
      </c>
      <c r="D329" s="5">
        <v>29</v>
      </c>
      <c r="E329" s="5">
        <v>10</v>
      </c>
      <c r="F329" s="5">
        <v>14</v>
      </c>
      <c r="G329" s="6">
        <v>1</v>
      </c>
      <c r="H329" s="6">
        <v>52.7</v>
      </c>
    </row>
    <row r="330" spans="1:8" ht="15.6" x14ac:dyDescent="0.3">
      <c r="A330" s="4" t="s">
        <v>360</v>
      </c>
      <c r="B330" s="5" t="s">
        <v>373</v>
      </c>
      <c r="C330" s="5" t="s">
        <v>12</v>
      </c>
      <c r="D330" s="5">
        <v>22</v>
      </c>
      <c r="E330" s="5">
        <v>8</v>
      </c>
      <c r="F330" s="5">
        <v>27</v>
      </c>
      <c r="G330" s="6">
        <v>0</v>
      </c>
      <c r="H330" s="6">
        <v>39.35</v>
      </c>
    </row>
    <row r="331" spans="1:8" ht="15.6" x14ac:dyDescent="0.3">
      <c r="A331" s="4" t="s">
        <v>360</v>
      </c>
      <c r="B331" s="5" t="s">
        <v>374</v>
      </c>
      <c r="C331" s="5" t="s">
        <v>21</v>
      </c>
      <c r="D331" s="5">
        <v>49</v>
      </c>
      <c r="E331" s="5">
        <v>10</v>
      </c>
      <c r="F331" s="5">
        <v>15</v>
      </c>
      <c r="G331" s="6">
        <v>5</v>
      </c>
      <c r="H331" s="6">
        <v>84.75</v>
      </c>
    </row>
    <row r="332" spans="1:8" ht="15.6" x14ac:dyDescent="0.3">
      <c r="A332" s="4" t="s">
        <v>360</v>
      </c>
      <c r="B332" s="5" t="s">
        <v>375</v>
      </c>
      <c r="C332" s="5" t="s">
        <v>9</v>
      </c>
      <c r="D332" s="5">
        <v>45</v>
      </c>
      <c r="E332" s="5">
        <v>9</v>
      </c>
      <c r="F332" s="5">
        <v>112</v>
      </c>
      <c r="G332" s="6">
        <v>4</v>
      </c>
      <c r="H332" s="6">
        <v>80.599999999999994</v>
      </c>
    </row>
    <row r="333" spans="1:8" ht="15.6" x14ac:dyDescent="0.3">
      <c r="A333" s="4" t="s">
        <v>360</v>
      </c>
      <c r="B333" s="5" t="s">
        <v>376</v>
      </c>
      <c r="C333" s="5" t="s">
        <v>21</v>
      </c>
      <c r="D333" s="5">
        <v>36</v>
      </c>
      <c r="E333" s="5">
        <v>6</v>
      </c>
      <c r="F333" s="5">
        <v>55</v>
      </c>
      <c r="G333" s="6">
        <v>5</v>
      </c>
      <c r="H333" s="6">
        <v>65.75</v>
      </c>
    </row>
    <row r="334" spans="1:8" ht="15.6" x14ac:dyDescent="0.3">
      <c r="A334" s="4" t="s">
        <v>360</v>
      </c>
      <c r="B334" s="5" t="s">
        <v>377</v>
      </c>
      <c r="C334" s="5" t="s">
        <v>15</v>
      </c>
      <c r="D334" s="5">
        <v>19</v>
      </c>
      <c r="E334" s="5">
        <v>8</v>
      </c>
      <c r="F334" s="5">
        <v>8</v>
      </c>
      <c r="G334" s="6">
        <v>5</v>
      </c>
      <c r="H334" s="6">
        <v>50.4</v>
      </c>
    </row>
    <row r="335" spans="1:8" ht="15.6" x14ac:dyDescent="0.3">
      <c r="A335" s="4" t="s">
        <v>360</v>
      </c>
      <c r="B335" s="5" t="s">
        <v>378</v>
      </c>
      <c r="C335" s="5" t="s">
        <v>19</v>
      </c>
      <c r="D335" s="5">
        <v>3</v>
      </c>
      <c r="E335" s="5">
        <v>10</v>
      </c>
      <c r="F335" s="5">
        <v>47</v>
      </c>
      <c r="G335" s="6">
        <v>1</v>
      </c>
      <c r="H335" s="6">
        <v>28.35</v>
      </c>
    </row>
    <row r="336" spans="1:8" ht="15.6" x14ac:dyDescent="0.3">
      <c r="A336" s="4" t="s">
        <v>379</v>
      </c>
      <c r="B336" s="5" t="s">
        <v>380</v>
      </c>
      <c r="C336" s="5" t="s">
        <v>9</v>
      </c>
      <c r="D336" s="5">
        <v>1</v>
      </c>
      <c r="E336" s="5">
        <v>8</v>
      </c>
      <c r="F336" s="5">
        <v>39</v>
      </c>
      <c r="G336" s="6">
        <v>2</v>
      </c>
      <c r="H336" s="6">
        <v>24.95</v>
      </c>
    </row>
    <row r="337" spans="1:8" ht="15.6" x14ac:dyDescent="0.3">
      <c r="A337" s="4" t="s">
        <v>379</v>
      </c>
      <c r="B337" s="5" t="s">
        <v>381</v>
      </c>
      <c r="C337" s="5" t="s">
        <v>12</v>
      </c>
      <c r="D337" s="5">
        <v>39</v>
      </c>
      <c r="E337" s="5">
        <v>8</v>
      </c>
      <c r="F337" s="5">
        <v>107</v>
      </c>
      <c r="G337" s="6">
        <v>3</v>
      </c>
      <c r="H337" s="6">
        <v>69.349999999999994</v>
      </c>
    </row>
    <row r="338" spans="1:8" ht="15.6" x14ac:dyDescent="0.3">
      <c r="A338" s="4" t="s">
        <v>379</v>
      </c>
      <c r="B338" s="5" t="s">
        <v>382</v>
      </c>
      <c r="C338" s="5" t="s">
        <v>21</v>
      </c>
      <c r="D338" s="5">
        <v>39</v>
      </c>
      <c r="E338" s="5">
        <v>7</v>
      </c>
      <c r="F338" s="5">
        <v>74</v>
      </c>
      <c r="G338" s="6">
        <v>4</v>
      </c>
      <c r="H338" s="6">
        <v>68.7</v>
      </c>
    </row>
    <row r="339" spans="1:8" ht="15.6" x14ac:dyDescent="0.3">
      <c r="A339" s="4" t="s">
        <v>379</v>
      </c>
      <c r="B339" s="5" t="s">
        <v>383</v>
      </c>
      <c r="C339" s="5" t="s">
        <v>19</v>
      </c>
      <c r="D339" s="5">
        <v>45</v>
      </c>
      <c r="E339" s="5">
        <v>3</v>
      </c>
      <c r="F339" s="5">
        <v>26</v>
      </c>
      <c r="G339" s="6">
        <v>1</v>
      </c>
      <c r="H339" s="6">
        <v>55.3</v>
      </c>
    </row>
    <row r="340" spans="1:8" ht="15.6" x14ac:dyDescent="0.3">
      <c r="A340" s="4" t="s">
        <v>379</v>
      </c>
      <c r="B340" s="5" t="s">
        <v>384</v>
      </c>
      <c r="C340" s="5" t="s">
        <v>9</v>
      </c>
      <c r="D340" s="5">
        <v>49</v>
      </c>
      <c r="E340" s="5">
        <v>9</v>
      </c>
      <c r="F340" s="5">
        <v>96</v>
      </c>
      <c r="G340" s="6">
        <v>1</v>
      </c>
      <c r="H340" s="6">
        <v>74.8</v>
      </c>
    </row>
    <row r="341" spans="1:8" ht="15.6" x14ac:dyDescent="0.3">
      <c r="A341" s="4" t="s">
        <v>379</v>
      </c>
      <c r="B341" s="5" t="s">
        <v>385</v>
      </c>
      <c r="C341" s="5" t="s">
        <v>21</v>
      </c>
      <c r="D341" s="5">
        <v>44</v>
      </c>
      <c r="E341" s="5">
        <v>9</v>
      </c>
      <c r="F341" s="5">
        <v>67</v>
      </c>
      <c r="G341" s="6">
        <v>5</v>
      </c>
      <c r="H341" s="6">
        <v>80.349999999999994</v>
      </c>
    </row>
    <row r="342" spans="1:8" ht="15.6" x14ac:dyDescent="0.3">
      <c r="A342" s="4" t="s">
        <v>386</v>
      </c>
      <c r="B342" s="5" t="s">
        <v>387</v>
      </c>
      <c r="C342" s="5" t="s">
        <v>23</v>
      </c>
      <c r="D342" s="5">
        <v>35</v>
      </c>
      <c r="E342" s="5">
        <v>10</v>
      </c>
      <c r="F342" s="5">
        <v>102</v>
      </c>
      <c r="G342" s="6">
        <v>4</v>
      </c>
      <c r="H342" s="6">
        <v>72.099999999999994</v>
      </c>
    </row>
    <row r="343" spans="1:8" ht="15.6" x14ac:dyDescent="0.3">
      <c r="A343" s="4" t="s">
        <v>386</v>
      </c>
      <c r="B343" s="5" t="s">
        <v>388</v>
      </c>
      <c r="C343" s="5" t="s">
        <v>9</v>
      </c>
      <c r="D343" s="5">
        <v>20</v>
      </c>
      <c r="E343" s="5">
        <v>2</v>
      </c>
      <c r="F343" s="5">
        <v>100</v>
      </c>
      <c r="G343" s="6">
        <v>2</v>
      </c>
      <c r="H343" s="6">
        <v>35</v>
      </c>
    </row>
    <row r="344" spans="1:8" ht="15.6" x14ac:dyDescent="0.3">
      <c r="A344" s="4" t="s">
        <v>386</v>
      </c>
      <c r="B344" s="5" t="s">
        <v>389</v>
      </c>
      <c r="C344" s="5" t="s">
        <v>21</v>
      </c>
      <c r="D344" s="5">
        <v>36</v>
      </c>
      <c r="E344" s="5">
        <v>9</v>
      </c>
      <c r="F344" s="5">
        <v>75</v>
      </c>
      <c r="G344" s="6">
        <v>1</v>
      </c>
      <c r="H344" s="6">
        <v>60.75</v>
      </c>
    </row>
    <row r="345" spans="1:8" ht="15.6" x14ac:dyDescent="0.3">
      <c r="A345" s="4" t="s">
        <v>386</v>
      </c>
      <c r="B345" s="5" t="s">
        <v>390</v>
      </c>
      <c r="C345" s="5" t="s">
        <v>19</v>
      </c>
      <c r="D345" s="5">
        <v>50</v>
      </c>
      <c r="E345" s="5">
        <v>3</v>
      </c>
      <c r="F345" s="5">
        <v>72</v>
      </c>
      <c r="G345" s="6">
        <v>4</v>
      </c>
      <c r="H345" s="6">
        <v>71.599999999999994</v>
      </c>
    </row>
    <row r="346" spans="1:8" ht="15.6" x14ac:dyDescent="0.3">
      <c r="A346" s="4" t="s">
        <v>386</v>
      </c>
      <c r="B346" s="5" t="s">
        <v>391</v>
      </c>
      <c r="C346" s="5" t="s">
        <v>19</v>
      </c>
      <c r="D346" s="5">
        <v>32</v>
      </c>
      <c r="E346" s="5">
        <v>7</v>
      </c>
      <c r="F346" s="5">
        <v>0</v>
      </c>
      <c r="G346" s="6">
        <v>5</v>
      </c>
      <c r="H346" s="6">
        <v>61</v>
      </c>
    </row>
    <row r="347" spans="1:8" ht="15.6" x14ac:dyDescent="0.3">
      <c r="A347" s="4" t="s">
        <v>386</v>
      </c>
      <c r="B347" s="5" t="s">
        <v>392</v>
      </c>
      <c r="C347" s="5" t="s">
        <v>19</v>
      </c>
      <c r="D347" s="5">
        <v>16</v>
      </c>
      <c r="E347" s="5">
        <v>3</v>
      </c>
      <c r="F347" s="5">
        <v>34</v>
      </c>
      <c r="G347" s="6">
        <v>4</v>
      </c>
      <c r="H347" s="6">
        <v>35.700000000000003</v>
      </c>
    </row>
    <row r="348" spans="1:8" ht="15.6" x14ac:dyDescent="0.3">
      <c r="A348" s="4" t="s">
        <v>386</v>
      </c>
      <c r="B348" s="5" t="s">
        <v>393</v>
      </c>
      <c r="C348" s="5" t="s">
        <v>19</v>
      </c>
      <c r="D348" s="5">
        <v>42</v>
      </c>
      <c r="E348" s="5">
        <v>1</v>
      </c>
      <c r="F348" s="5">
        <v>112</v>
      </c>
      <c r="G348" s="6">
        <v>2</v>
      </c>
      <c r="H348" s="6">
        <v>55.6</v>
      </c>
    </row>
    <row r="349" spans="1:8" ht="15.6" x14ac:dyDescent="0.3">
      <c r="A349" s="4" t="s">
        <v>386</v>
      </c>
      <c r="B349" s="5" t="s">
        <v>394</v>
      </c>
      <c r="C349" s="5" t="s">
        <v>9</v>
      </c>
      <c r="D349" s="5">
        <v>49</v>
      </c>
      <c r="E349" s="5">
        <v>4</v>
      </c>
      <c r="F349" s="5">
        <v>84</v>
      </c>
      <c r="G349" s="6">
        <v>4</v>
      </c>
      <c r="H349" s="6">
        <v>73.2</v>
      </c>
    </row>
    <row r="350" spans="1:8" ht="15.6" x14ac:dyDescent="0.3">
      <c r="A350" s="4" t="s">
        <v>386</v>
      </c>
      <c r="B350" s="5" t="s">
        <v>395</v>
      </c>
      <c r="C350" s="5" t="s">
        <v>19</v>
      </c>
      <c r="D350" s="5">
        <v>12</v>
      </c>
      <c r="E350" s="5">
        <v>7</v>
      </c>
      <c r="F350" s="5">
        <v>78</v>
      </c>
      <c r="G350" s="6">
        <v>2</v>
      </c>
      <c r="H350" s="6">
        <v>35.9</v>
      </c>
    </row>
    <row r="351" spans="1:8" ht="15.6" x14ac:dyDescent="0.3">
      <c r="A351" s="4" t="s">
        <v>386</v>
      </c>
      <c r="B351" s="5" t="s">
        <v>396</v>
      </c>
      <c r="C351" s="5" t="s">
        <v>12</v>
      </c>
      <c r="D351" s="5">
        <v>50</v>
      </c>
      <c r="E351" s="5">
        <v>1</v>
      </c>
      <c r="F351" s="5">
        <v>14</v>
      </c>
      <c r="G351" s="6">
        <v>4</v>
      </c>
      <c r="H351" s="6">
        <v>64.7</v>
      </c>
    </row>
    <row r="352" spans="1:8" ht="15.6" x14ac:dyDescent="0.3">
      <c r="A352" s="4" t="s">
        <v>386</v>
      </c>
      <c r="B352" s="5" t="s">
        <v>397</v>
      </c>
      <c r="C352" s="5" t="s">
        <v>12</v>
      </c>
      <c r="D352" s="5">
        <v>28</v>
      </c>
      <c r="E352" s="5">
        <v>0</v>
      </c>
      <c r="F352" s="5">
        <v>107</v>
      </c>
      <c r="G352" s="6">
        <v>0</v>
      </c>
      <c r="H352" s="6">
        <v>33.35</v>
      </c>
    </row>
    <row r="353" spans="1:8" ht="15.6" x14ac:dyDescent="0.3">
      <c r="A353" s="4" t="s">
        <v>386</v>
      </c>
      <c r="B353" s="5" t="s">
        <v>398</v>
      </c>
      <c r="C353" s="5" t="s">
        <v>15</v>
      </c>
      <c r="D353" s="5">
        <v>2</v>
      </c>
      <c r="E353" s="5">
        <v>2</v>
      </c>
      <c r="F353" s="5">
        <v>1</v>
      </c>
      <c r="G353" s="6">
        <v>5</v>
      </c>
      <c r="H353" s="6">
        <v>21.05</v>
      </c>
    </row>
    <row r="354" spans="1:8" ht="15.6" x14ac:dyDescent="0.3">
      <c r="A354" s="4" t="s">
        <v>386</v>
      </c>
      <c r="B354" s="5" t="s">
        <v>399</v>
      </c>
      <c r="C354" s="5" t="s">
        <v>21</v>
      </c>
      <c r="D354" s="5">
        <v>27</v>
      </c>
      <c r="E354" s="5">
        <v>4</v>
      </c>
      <c r="F354" s="5">
        <v>94</v>
      </c>
      <c r="G354" s="6">
        <v>4</v>
      </c>
      <c r="H354" s="6">
        <v>51.7</v>
      </c>
    </row>
    <row r="355" spans="1:8" ht="15.6" x14ac:dyDescent="0.3">
      <c r="A355" s="4" t="s">
        <v>386</v>
      </c>
      <c r="B355" s="5" t="s">
        <v>400</v>
      </c>
      <c r="C355" s="5" t="s">
        <v>15</v>
      </c>
      <c r="D355" s="5">
        <v>31</v>
      </c>
      <c r="E355" s="5">
        <v>7</v>
      </c>
      <c r="F355" s="5">
        <v>55</v>
      </c>
      <c r="G355" s="6">
        <v>4</v>
      </c>
      <c r="H355" s="6">
        <v>59.75</v>
      </c>
    </row>
    <row r="356" spans="1:8" ht="15.6" x14ac:dyDescent="0.3">
      <c r="A356" s="4" t="s">
        <v>386</v>
      </c>
      <c r="B356" s="5" t="s">
        <v>401</v>
      </c>
      <c r="C356" s="5" t="s">
        <v>21</v>
      </c>
      <c r="D356" s="5">
        <v>4</v>
      </c>
      <c r="E356" s="5">
        <v>7</v>
      </c>
      <c r="F356" s="5">
        <v>79</v>
      </c>
      <c r="G356" s="6">
        <v>4</v>
      </c>
      <c r="H356" s="6">
        <v>33.950000000000003</v>
      </c>
    </row>
    <row r="357" spans="1:8" ht="15.6" x14ac:dyDescent="0.3">
      <c r="A357" s="4" t="s">
        <v>386</v>
      </c>
      <c r="B357" s="5" t="s">
        <v>402</v>
      </c>
      <c r="C357" s="5" t="s">
        <v>12</v>
      </c>
      <c r="D357" s="5">
        <v>35</v>
      </c>
      <c r="E357" s="5">
        <v>1</v>
      </c>
      <c r="F357" s="5">
        <v>56</v>
      </c>
      <c r="G357" s="6">
        <v>2</v>
      </c>
      <c r="H357" s="6">
        <v>45.8</v>
      </c>
    </row>
    <row r="358" spans="1:8" ht="15.6" x14ac:dyDescent="0.3">
      <c r="A358" s="4" t="s">
        <v>403</v>
      </c>
      <c r="B358" s="5" t="s">
        <v>404</v>
      </c>
      <c r="C358" s="5" t="s">
        <v>21</v>
      </c>
      <c r="D358" s="5">
        <v>8</v>
      </c>
      <c r="E358" s="5">
        <v>1</v>
      </c>
      <c r="F358" s="5">
        <v>116</v>
      </c>
      <c r="G358" s="6">
        <v>1</v>
      </c>
      <c r="H358" s="6">
        <v>18.8</v>
      </c>
    </row>
    <row r="359" spans="1:8" ht="15.6" x14ac:dyDescent="0.3">
      <c r="A359" s="4" t="s">
        <v>403</v>
      </c>
      <c r="B359" s="5" t="s">
        <v>405</v>
      </c>
      <c r="C359" s="5" t="s">
        <v>9</v>
      </c>
      <c r="D359" s="5">
        <v>2</v>
      </c>
      <c r="E359" s="5">
        <v>9</v>
      </c>
      <c r="F359" s="5">
        <v>1</v>
      </c>
      <c r="G359" s="6">
        <v>0</v>
      </c>
      <c r="H359" s="6">
        <v>20.05</v>
      </c>
    </row>
    <row r="360" spans="1:8" ht="15.6" x14ac:dyDescent="0.3">
      <c r="A360" s="4" t="s">
        <v>403</v>
      </c>
      <c r="B360" s="5" t="s">
        <v>406</v>
      </c>
      <c r="C360" s="5" t="s">
        <v>15</v>
      </c>
      <c r="D360" s="5">
        <v>0</v>
      </c>
      <c r="E360" s="5">
        <v>7</v>
      </c>
      <c r="F360" s="5">
        <v>55</v>
      </c>
      <c r="G360" s="6">
        <v>5</v>
      </c>
      <c r="H360" s="6">
        <v>31.75</v>
      </c>
    </row>
    <row r="361" spans="1:8" ht="15.6" x14ac:dyDescent="0.3">
      <c r="A361" s="4" t="s">
        <v>403</v>
      </c>
      <c r="B361" s="5" t="s">
        <v>407</v>
      </c>
      <c r="C361" s="5" t="s">
        <v>9</v>
      </c>
      <c r="D361" s="5">
        <v>32</v>
      </c>
      <c r="E361" s="5">
        <v>4</v>
      </c>
      <c r="F361" s="5">
        <v>37</v>
      </c>
      <c r="G361" s="6">
        <v>0</v>
      </c>
      <c r="H361" s="6">
        <v>41.85</v>
      </c>
    </row>
    <row r="362" spans="1:8" ht="15.6" x14ac:dyDescent="0.3">
      <c r="A362" s="4" t="s">
        <v>403</v>
      </c>
      <c r="B362" s="5" t="s">
        <v>408</v>
      </c>
      <c r="C362" s="5" t="s">
        <v>9</v>
      </c>
      <c r="D362" s="5">
        <v>0</v>
      </c>
      <c r="E362" s="5">
        <v>10</v>
      </c>
      <c r="F362" s="5">
        <v>22</v>
      </c>
      <c r="G362" s="6">
        <v>5</v>
      </c>
      <c r="H362" s="6">
        <v>36.1</v>
      </c>
    </row>
    <row r="363" spans="1:8" ht="15.6" x14ac:dyDescent="0.3">
      <c r="A363" s="4" t="s">
        <v>403</v>
      </c>
      <c r="B363" s="5" t="s">
        <v>409</v>
      </c>
      <c r="C363" s="5" t="s">
        <v>12</v>
      </c>
      <c r="D363" s="5">
        <v>48</v>
      </c>
      <c r="E363" s="5">
        <v>5</v>
      </c>
      <c r="F363" s="5">
        <v>4</v>
      </c>
      <c r="G363" s="6">
        <v>2</v>
      </c>
      <c r="H363" s="6">
        <v>64.2</v>
      </c>
    </row>
    <row r="364" spans="1:8" ht="15.6" x14ac:dyDescent="0.3">
      <c r="A364" s="4" t="s">
        <v>403</v>
      </c>
      <c r="B364" s="5" t="s">
        <v>410</v>
      </c>
      <c r="C364" s="5" t="s">
        <v>21</v>
      </c>
      <c r="D364" s="5">
        <v>39</v>
      </c>
      <c r="E364" s="5">
        <v>10</v>
      </c>
      <c r="F364" s="5">
        <v>20</v>
      </c>
      <c r="G364" s="6">
        <v>1</v>
      </c>
      <c r="H364" s="6">
        <v>63</v>
      </c>
    </row>
    <row r="365" spans="1:8" ht="15.6" x14ac:dyDescent="0.3">
      <c r="A365" s="4" t="s">
        <v>403</v>
      </c>
      <c r="B365" s="5" t="s">
        <v>411</v>
      </c>
      <c r="C365" s="5" t="s">
        <v>9</v>
      </c>
      <c r="D365" s="5">
        <v>43</v>
      </c>
      <c r="E365" s="5">
        <v>3</v>
      </c>
      <c r="F365" s="5">
        <v>49</v>
      </c>
      <c r="G365" s="6">
        <v>1</v>
      </c>
      <c r="H365" s="6">
        <v>54.45</v>
      </c>
    </row>
    <row r="366" spans="1:8" ht="15.6" x14ac:dyDescent="0.3">
      <c r="A366" s="4" t="s">
        <v>412</v>
      </c>
      <c r="B366" s="5" t="s">
        <v>413</v>
      </c>
      <c r="C366" s="5" t="s">
        <v>9</v>
      </c>
      <c r="D366" s="5">
        <v>50</v>
      </c>
      <c r="E366" s="5">
        <v>10</v>
      </c>
      <c r="F366" s="5">
        <v>111</v>
      </c>
      <c r="G366" s="6">
        <v>3</v>
      </c>
      <c r="H366" s="6">
        <v>84.55</v>
      </c>
    </row>
    <row r="367" spans="1:8" ht="15.6" x14ac:dyDescent="0.3">
      <c r="A367" s="4" t="s">
        <v>412</v>
      </c>
      <c r="B367" s="5" t="s">
        <v>414</v>
      </c>
      <c r="C367" s="5" t="s">
        <v>19</v>
      </c>
      <c r="D367" s="5">
        <v>31</v>
      </c>
      <c r="E367" s="5">
        <v>6</v>
      </c>
      <c r="F367" s="5">
        <v>1</v>
      </c>
      <c r="G367" s="6">
        <v>5</v>
      </c>
      <c r="H367" s="6">
        <v>58.05</v>
      </c>
    </row>
    <row r="368" spans="1:8" ht="15.6" x14ac:dyDescent="0.3">
      <c r="A368" s="4" t="s">
        <v>412</v>
      </c>
      <c r="B368" s="5" t="s">
        <v>415</v>
      </c>
      <c r="C368" s="5" t="s">
        <v>12</v>
      </c>
      <c r="D368" s="5">
        <v>32</v>
      </c>
      <c r="E368" s="5">
        <v>1</v>
      </c>
      <c r="F368" s="5">
        <v>69</v>
      </c>
      <c r="G368" s="6">
        <v>4</v>
      </c>
      <c r="H368" s="6">
        <v>49.45</v>
      </c>
    </row>
    <row r="369" spans="1:8" ht="15.6" x14ac:dyDescent="0.3">
      <c r="A369" s="4" t="s">
        <v>412</v>
      </c>
      <c r="B369" s="5" t="s">
        <v>416</v>
      </c>
      <c r="C369" s="5" t="s">
        <v>23</v>
      </c>
      <c r="D369" s="5">
        <v>26</v>
      </c>
      <c r="E369" s="5">
        <v>6</v>
      </c>
      <c r="F369" s="5">
        <v>94</v>
      </c>
      <c r="G369" s="6">
        <v>3</v>
      </c>
      <c r="H369" s="6">
        <v>51.7</v>
      </c>
    </row>
    <row r="370" spans="1:8" ht="15.6" x14ac:dyDescent="0.3">
      <c r="A370" s="4" t="s">
        <v>412</v>
      </c>
      <c r="B370" s="5" t="s">
        <v>417</v>
      </c>
      <c r="C370" s="5" t="s">
        <v>9</v>
      </c>
      <c r="D370" s="5">
        <v>25</v>
      </c>
      <c r="E370" s="5">
        <v>2</v>
      </c>
      <c r="F370" s="5">
        <v>81</v>
      </c>
      <c r="G370" s="6">
        <v>3</v>
      </c>
      <c r="H370" s="6">
        <v>42.05</v>
      </c>
    </row>
    <row r="371" spans="1:8" ht="15.6" x14ac:dyDescent="0.3">
      <c r="A371" s="4" t="s">
        <v>412</v>
      </c>
      <c r="B371" s="5" t="s">
        <v>418</v>
      </c>
      <c r="C371" s="5" t="s">
        <v>21</v>
      </c>
      <c r="D371" s="5">
        <v>25</v>
      </c>
      <c r="E371" s="5">
        <v>9</v>
      </c>
      <c r="F371" s="5">
        <v>79</v>
      </c>
      <c r="G371" s="6">
        <v>5</v>
      </c>
      <c r="H371" s="6">
        <v>61.95</v>
      </c>
    </row>
    <row r="372" spans="1:8" ht="15.6" x14ac:dyDescent="0.3">
      <c r="A372" s="4" t="s">
        <v>412</v>
      </c>
      <c r="B372" s="5" t="s">
        <v>419</v>
      </c>
      <c r="C372" s="5" t="s">
        <v>9</v>
      </c>
      <c r="D372" s="5">
        <v>42</v>
      </c>
      <c r="E372" s="5">
        <v>7</v>
      </c>
      <c r="F372" s="5">
        <v>91</v>
      </c>
      <c r="G372" s="6">
        <v>4</v>
      </c>
      <c r="H372" s="6">
        <v>72.55</v>
      </c>
    </row>
    <row r="373" spans="1:8" ht="15.6" x14ac:dyDescent="0.3">
      <c r="A373" s="4" t="s">
        <v>412</v>
      </c>
      <c r="B373" s="5" t="s">
        <v>420</v>
      </c>
      <c r="C373" s="5" t="s">
        <v>12</v>
      </c>
      <c r="D373" s="5">
        <v>42</v>
      </c>
      <c r="E373" s="5">
        <v>6</v>
      </c>
      <c r="F373" s="5">
        <v>65</v>
      </c>
      <c r="G373" s="6">
        <v>4</v>
      </c>
      <c r="H373" s="6">
        <v>69.25</v>
      </c>
    </row>
    <row r="374" spans="1:8" ht="15.6" x14ac:dyDescent="0.3">
      <c r="A374" s="4" t="s">
        <v>412</v>
      </c>
      <c r="B374" s="5" t="s">
        <v>421</v>
      </c>
      <c r="C374" s="5" t="s">
        <v>15</v>
      </c>
      <c r="D374" s="5">
        <v>7</v>
      </c>
      <c r="E374" s="5">
        <v>10</v>
      </c>
      <c r="F374" s="5">
        <v>73</v>
      </c>
      <c r="G374" s="6">
        <v>1</v>
      </c>
      <c r="H374" s="6">
        <v>33.65</v>
      </c>
    </row>
    <row r="375" spans="1:8" ht="15.6" x14ac:dyDescent="0.3">
      <c r="A375" s="4" t="s">
        <v>412</v>
      </c>
      <c r="B375" s="5" t="s">
        <v>422</v>
      </c>
      <c r="C375" s="5" t="s">
        <v>12</v>
      </c>
      <c r="D375" s="5">
        <v>45</v>
      </c>
      <c r="E375" s="5">
        <v>7</v>
      </c>
      <c r="F375" s="5">
        <v>21</v>
      </c>
      <c r="G375" s="6">
        <v>1</v>
      </c>
      <c r="H375" s="6">
        <v>63.05</v>
      </c>
    </row>
    <row r="376" spans="1:8" ht="15.6" x14ac:dyDescent="0.3">
      <c r="A376" s="4" t="s">
        <v>412</v>
      </c>
      <c r="B376" s="5" t="s">
        <v>423</v>
      </c>
      <c r="C376" s="5" t="s">
        <v>19</v>
      </c>
      <c r="D376" s="5">
        <v>20</v>
      </c>
      <c r="E376" s="5">
        <v>8</v>
      </c>
      <c r="F376" s="5">
        <v>40</v>
      </c>
      <c r="G376" s="6">
        <v>1</v>
      </c>
      <c r="H376" s="6">
        <v>41</v>
      </c>
    </row>
    <row r="377" spans="1:8" ht="15.6" x14ac:dyDescent="0.3">
      <c r="A377" s="4" t="s">
        <v>412</v>
      </c>
      <c r="B377" s="5" t="s">
        <v>424</v>
      </c>
      <c r="C377" s="5" t="s">
        <v>21</v>
      </c>
      <c r="D377" s="5">
        <v>28</v>
      </c>
      <c r="E377" s="5">
        <v>8</v>
      </c>
      <c r="F377" s="5">
        <v>96</v>
      </c>
      <c r="G377" s="6">
        <v>1</v>
      </c>
      <c r="H377" s="6">
        <v>51.8</v>
      </c>
    </row>
    <row r="378" spans="1:8" ht="15.6" x14ac:dyDescent="0.3">
      <c r="A378" s="4" t="s">
        <v>425</v>
      </c>
      <c r="B378" s="5" t="s">
        <v>426</v>
      </c>
      <c r="C378" s="5" t="s">
        <v>15</v>
      </c>
      <c r="D378" s="5">
        <v>5</v>
      </c>
      <c r="E378" s="5">
        <v>0</v>
      </c>
      <c r="F378" s="5">
        <v>41</v>
      </c>
      <c r="G378" s="6">
        <v>1</v>
      </c>
      <c r="H378" s="6">
        <v>10.050000000000001</v>
      </c>
    </row>
    <row r="379" spans="1:8" ht="15.6" x14ac:dyDescent="0.3">
      <c r="A379" s="4" t="s">
        <v>425</v>
      </c>
      <c r="B379" s="5" t="s">
        <v>427</v>
      </c>
      <c r="C379" s="5" t="s">
        <v>21</v>
      </c>
      <c r="D379" s="5">
        <v>50</v>
      </c>
      <c r="E379" s="5">
        <v>9</v>
      </c>
      <c r="F379" s="5">
        <v>76</v>
      </c>
      <c r="G379" s="6">
        <v>2</v>
      </c>
      <c r="H379" s="6">
        <v>77.8</v>
      </c>
    </row>
    <row r="380" spans="1:8" ht="15.6" x14ac:dyDescent="0.3">
      <c r="A380" s="4" t="s">
        <v>425</v>
      </c>
      <c r="B380" s="5" t="s">
        <v>428</v>
      </c>
      <c r="C380" s="5" t="s">
        <v>19</v>
      </c>
      <c r="D380" s="5">
        <v>6</v>
      </c>
      <c r="E380" s="5">
        <v>0</v>
      </c>
      <c r="F380" s="5">
        <v>97</v>
      </c>
      <c r="G380" s="6">
        <v>2</v>
      </c>
      <c r="H380" s="6">
        <v>16.850000000000001</v>
      </c>
    </row>
    <row r="381" spans="1:8" ht="15.6" x14ac:dyDescent="0.3">
      <c r="A381" s="4" t="s">
        <v>425</v>
      </c>
      <c r="B381" s="5" t="s">
        <v>429</v>
      </c>
      <c r="C381" s="5" t="s">
        <v>23</v>
      </c>
      <c r="D381" s="5">
        <v>38</v>
      </c>
      <c r="E381" s="5">
        <v>2</v>
      </c>
      <c r="F381" s="5">
        <v>77</v>
      </c>
      <c r="G381" s="6">
        <v>5</v>
      </c>
      <c r="H381" s="6">
        <v>60.85</v>
      </c>
    </row>
    <row r="382" spans="1:8" ht="15.6" x14ac:dyDescent="0.3">
      <c r="A382" s="4" t="s">
        <v>425</v>
      </c>
      <c r="B382" s="5" t="s">
        <v>430</v>
      </c>
      <c r="C382" s="5" t="s">
        <v>23</v>
      </c>
      <c r="D382" s="5">
        <v>2</v>
      </c>
      <c r="E382" s="5">
        <v>0</v>
      </c>
      <c r="F382" s="5">
        <v>67</v>
      </c>
      <c r="G382" s="6">
        <v>4</v>
      </c>
      <c r="H382" s="6">
        <v>17.350000000000001</v>
      </c>
    </row>
    <row r="383" spans="1:8" ht="15.6" x14ac:dyDescent="0.3">
      <c r="A383" s="4" t="s">
        <v>431</v>
      </c>
      <c r="B383" s="5" t="s">
        <v>432</v>
      </c>
      <c r="C383" s="5" t="s">
        <v>19</v>
      </c>
      <c r="D383" s="5">
        <v>32</v>
      </c>
      <c r="E383" s="5">
        <v>7</v>
      </c>
      <c r="F383" s="5">
        <v>3</v>
      </c>
      <c r="G383" s="6">
        <v>5</v>
      </c>
      <c r="H383" s="6">
        <v>61.15</v>
      </c>
    </row>
    <row r="384" spans="1:8" ht="15.6" x14ac:dyDescent="0.3">
      <c r="A384" s="4" t="s">
        <v>431</v>
      </c>
      <c r="B384" s="5" t="s">
        <v>433</v>
      </c>
      <c r="C384" s="5" t="s">
        <v>15</v>
      </c>
      <c r="D384" s="5">
        <v>3</v>
      </c>
      <c r="E384" s="5">
        <v>2</v>
      </c>
      <c r="F384" s="5">
        <v>49</v>
      </c>
      <c r="G384" s="6">
        <v>1</v>
      </c>
      <c r="H384" s="6">
        <v>12.45</v>
      </c>
    </row>
    <row r="385" spans="1:8" ht="15.6" x14ac:dyDescent="0.3">
      <c r="A385" s="4" t="s">
        <v>431</v>
      </c>
      <c r="B385" s="5" t="s">
        <v>434</v>
      </c>
      <c r="C385" s="5" t="s">
        <v>21</v>
      </c>
      <c r="D385" s="5">
        <v>5</v>
      </c>
      <c r="E385" s="5">
        <v>8</v>
      </c>
      <c r="F385" s="5">
        <v>43</v>
      </c>
      <c r="G385" s="6">
        <v>3</v>
      </c>
      <c r="H385" s="6">
        <v>32.15</v>
      </c>
    </row>
    <row r="386" spans="1:8" ht="15.6" x14ac:dyDescent="0.3">
      <c r="A386" s="4" t="s">
        <v>431</v>
      </c>
      <c r="B386" s="5" t="s">
        <v>435</v>
      </c>
      <c r="C386" s="5" t="s">
        <v>15</v>
      </c>
      <c r="D386" s="5">
        <v>25</v>
      </c>
      <c r="E386" s="5">
        <v>1</v>
      </c>
      <c r="F386" s="5">
        <v>119</v>
      </c>
      <c r="G386" s="6">
        <v>1</v>
      </c>
      <c r="H386" s="6">
        <v>35.950000000000003</v>
      </c>
    </row>
    <row r="387" spans="1:8" ht="15.6" x14ac:dyDescent="0.3">
      <c r="A387" s="4" t="s">
        <v>431</v>
      </c>
      <c r="B387" s="5" t="s">
        <v>436</v>
      </c>
      <c r="C387" s="5" t="s">
        <v>9</v>
      </c>
      <c r="D387" s="5">
        <v>50</v>
      </c>
      <c r="E387" s="5">
        <v>7</v>
      </c>
      <c r="F387" s="5">
        <v>77</v>
      </c>
      <c r="G387" s="6">
        <v>3</v>
      </c>
      <c r="H387" s="6">
        <v>76.849999999999994</v>
      </c>
    </row>
    <row r="388" spans="1:8" ht="15.6" x14ac:dyDescent="0.3">
      <c r="A388" s="4" t="s">
        <v>431</v>
      </c>
      <c r="B388" s="5" t="s">
        <v>437</v>
      </c>
      <c r="C388" s="5" t="s">
        <v>15</v>
      </c>
      <c r="D388" s="5">
        <v>46</v>
      </c>
      <c r="E388" s="5">
        <v>7</v>
      </c>
      <c r="F388" s="5">
        <v>88</v>
      </c>
      <c r="G388" s="6">
        <v>5</v>
      </c>
      <c r="H388" s="6">
        <v>79.400000000000006</v>
      </c>
    </row>
    <row r="389" spans="1:8" ht="15.6" x14ac:dyDescent="0.3">
      <c r="A389" s="4" t="s">
        <v>431</v>
      </c>
      <c r="B389" s="5" t="s">
        <v>438</v>
      </c>
      <c r="C389" s="5" t="s">
        <v>19</v>
      </c>
      <c r="D389" s="5">
        <v>28</v>
      </c>
      <c r="E389" s="5">
        <v>3</v>
      </c>
      <c r="F389" s="5">
        <v>110</v>
      </c>
      <c r="G389" s="6">
        <v>2</v>
      </c>
      <c r="H389" s="6">
        <v>45.5</v>
      </c>
    </row>
    <row r="390" spans="1:8" ht="15.6" x14ac:dyDescent="0.3">
      <c r="A390" s="4" t="s">
        <v>431</v>
      </c>
      <c r="B390" s="5" t="s">
        <v>439</v>
      </c>
      <c r="C390" s="5" t="s">
        <v>21</v>
      </c>
      <c r="D390" s="5">
        <v>28</v>
      </c>
      <c r="E390" s="5">
        <v>2</v>
      </c>
      <c r="F390" s="5">
        <v>110</v>
      </c>
      <c r="G390" s="6">
        <v>3</v>
      </c>
      <c r="H390" s="6">
        <v>46.5</v>
      </c>
    </row>
    <row r="391" spans="1:8" ht="15.6" x14ac:dyDescent="0.3">
      <c r="A391" s="4" t="s">
        <v>431</v>
      </c>
      <c r="B391" s="5" t="s">
        <v>440</v>
      </c>
      <c r="C391" s="5" t="s">
        <v>9</v>
      </c>
      <c r="D391" s="5">
        <v>30</v>
      </c>
      <c r="E391" s="5">
        <v>1</v>
      </c>
      <c r="F391" s="5">
        <v>89</v>
      </c>
      <c r="G391" s="6">
        <v>3</v>
      </c>
      <c r="H391" s="6">
        <v>45.45</v>
      </c>
    </row>
    <row r="392" spans="1:8" ht="15.6" x14ac:dyDescent="0.3">
      <c r="A392" s="4" t="s">
        <v>431</v>
      </c>
      <c r="B392" s="5" t="s">
        <v>441</v>
      </c>
      <c r="C392" s="5" t="s">
        <v>19</v>
      </c>
      <c r="D392" s="5">
        <v>25</v>
      </c>
      <c r="E392" s="5">
        <v>8</v>
      </c>
      <c r="F392" s="5">
        <v>32</v>
      </c>
      <c r="G392" s="6">
        <v>1</v>
      </c>
      <c r="H392" s="6">
        <v>45.6</v>
      </c>
    </row>
    <row r="393" spans="1:8" ht="15.6" x14ac:dyDescent="0.3">
      <c r="A393" s="4" t="s">
        <v>431</v>
      </c>
      <c r="B393" s="5" t="s">
        <v>442</v>
      </c>
      <c r="C393" s="5" t="s">
        <v>19</v>
      </c>
      <c r="D393" s="5">
        <v>34</v>
      </c>
      <c r="E393" s="5">
        <v>8</v>
      </c>
      <c r="F393" s="5">
        <v>64</v>
      </c>
      <c r="G393" s="6">
        <v>1</v>
      </c>
      <c r="H393" s="6">
        <v>56.2</v>
      </c>
    </row>
    <row r="394" spans="1:8" ht="15.6" x14ac:dyDescent="0.3">
      <c r="A394" s="4" t="s">
        <v>431</v>
      </c>
      <c r="B394" s="5" t="s">
        <v>443</v>
      </c>
      <c r="C394" s="5" t="s">
        <v>12</v>
      </c>
      <c r="D394" s="5">
        <v>2</v>
      </c>
      <c r="E394" s="5">
        <v>7</v>
      </c>
      <c r="F394" s="5">
        <v>120</v>
      </c>
      <c r="G394" s="6">
        <v>0</v>
      </c>
      <c r="H394" s="6">
        <v>22</v>
      </c>
    </row>
    <row r="395" spans="1:8" ht="15.6" x14ac:dyDescent="0.3">
      <c r="A395" s="4" t="s">
        <v>431</v>
      </c>
      <c r="B395" s="5" t="s">
        <v>444</v>
      </c>
      <c r="C395" s="5" t="s">
        <v>21</v>
      </c>
      <c r="D395" s="5">
        <v>22</v>
      </c>
      <c r="E395" s="5">
        <v>5</v>
      </c>
      <c r="F395" s="5">
        <v>70</v>
      </c>
      <c r="G395" s="6">
        <v>5</v>
      </c>
      <c r="H395" s="6">
        <v>50.5</v>
      </c>
    </row>
    <row r="396" spans="1:8" ht="15.6" x14ac:dyDescent="0.3">
      <c r="A396" s="4" t="s">
        <v>431</v>
      </c>
      <c r="B396" s="5" t="s">
        <v>445</v>
      </c>
      <c r="C396" s="5" t="s">
        <v>12</v>
      </c>
      <c r="D396" s="5">
        <v>45</v>
      </c>
      <c r="E396" s="5">
        <v>2</v>
      </c>
      <c r="F396" s="5">
        <v>35</v>
      </c>
      <c r="G396" s="6">
        <v>4</v>
      </c>
      <c r="H396" s="6">
        <v>62.75</v>
      </c>
    </row>
    <row r="397" spans="1:8" ht="15.6" x14ac:dyDescent="0.3">
      <c r="A397" s="4" t="s">
        <v>446</v>
      </c>
      <c r="B397" s="5" t="s">
        <v>447</v>
      </c>
      <c r="C397" s="5" t="s">
        <v>15</v>
      </c>
      <c r="D397" s="5">
        <v>2</v>
      </c>
      <c r="E397" s="5">
        <v>8</v>
      </c>
      <c r="F397" s="5">
        <v>97</v>
      </c>
      <c r="G397" s="6">
        <v>5</v>
      </c>
      <c r="H397" s="6">
        <v>37.85</v>
      </c>
    </row>
    <row r="398" spans="1:8" ht="15.6" x14ac:dyDescent="0.3">
      <c r="A398" s="4" t="s">
        <v>446</v>
      </c>
      <c r="B398" s="5" t="s">
        <v>448</v>
      </c>
      <c r="C398" s="5" t="s">
        <v>15</v>
      </c>
      <c r="D398" s="5">
        <v>5</v>
      </c>
      <c r="E398" s="5">
        <v>6</v>
      </c>
      <c r="F398" s="5">
        <v>69</v>
      </c>
      <c r="G398" s="6">
        <v>4</v>
      </c>
      <c r="H398" s="6">
        <v>32.450000000000003</v>
      </c>
    </row>
    <row r="399" spans="1:8" ht="15.6" x14ac:dyDescent="0.3">
      <c r="A399" s="4" t="s">
        <v>446</v>
      </c>
      <c r="B399" s="5" t="s">
        <v>449</v>
      </c>
      <c r="C399" s="5" t="s">
        <v>9</v>
      </c>
      <c r="D399" s="5">
        <v>37</v>
      </c>
      <c r="E399" s="5">
        <v>1</v>
      </c>
      <c r="F399" s="5">
        <v>66</v>
      </c>
      <c r="G399" s="6">
        <v>5</v>
      </c>
      <c r="H399" s="6">
        <v>57.3</v>
      </c>
    </row>
    <row r="400" spans="1:8" ht="15.6" x14ac:dyDescent="0.3">
      <c r="A400" s="4" t="s">
        <v>446</v>
      </c>
      <c r="B400" s="5" t="s">
        <v>450</v>
      </c>
      <c r="C400" s="5" t="s">
        <v>15</v>
      </c>
      <c r="D400" s="5">
        <v>32</v>
      </c>
      <c r="E400" s="5">
        <v>0</v>
      </c>
      <c r="F400" s="5">
        <v>19</v>
      </c>
      <c r="G400" s="6">
        <v>2</v>
      </c>
      <c r="H400" s="6">
        <v>38.950000000000003</v>
      </c>
    </row>
    <row r="401" spans="1:8" ht="15.6" x14ac:dyDescent="0.3">
      <c r="A401" s="4" t="s">
        <v>446</v>
      </c>
      <c r="B401" s="5" t="s">
        <v>451</v>
      </c>
      <c r="C401" s="5" t="s">
        <v>12</v>
      </c>
      <c r="D401" s="5">
        <v>40</v>
      </c>
      <c r="E401" s="5">
        <v>9</v>
      </c>
      <c r="F401" s="5">
        <v>14</v>
      </c>
      <c r="G401" s="6">
        <v>0</v>
      </c>
      <c r="H401" s="6">
        <v>58.7</v>
      </c>
    </row>
    <row r="402" spans="1:8" ht="15.6" x14ac:dyDescent="0.3">
      <c r="A402" s="4" t="s">
        <v>446</v>
      </c>
      <c r="B402" s="5" t="s">
        <v>452</v>
      </c>
      <c r="C402" s="5" t="s">
        <v>15</v>
      </c>
      <c r="D402" s="5">
        <v>25</v>
      </c>
      <c r="E402" s="5">
        <v>6</v>
      </c>
      <c r="F402" s="5">
        <v>70</v>
      </c>
      <c r="G402" s="6">
        <v>4</v>
      </c>
      <c r="H402" s="6">
        <v>52.5</v>
      </c>
    </row>
    <row r="403" spans="1:8" ht="15.6" x14ac:dyDescent="0.3">
      <c r="A403" s="4" t="s">
        <v>446</v>
      </c>
      <c r="B403" s="5" t="s">
        <v>453</v>
      </c>
      <c r="C403" s="5" t="s">
        <v>19</v>
      </c>
      <c r="D403" s="5">
        <v>0</v>
      </c>
      <c r="E403" s="5">
        <v>5</v>
      </c>
      <c r="F403" s="5">
        <v>47</v>
      </c>
      <c r="G403" s="6">
        <v>3</v>
      </c>
      <c r="H403" s="6">
        <v>21.35</v>
      </c>
    </row>
    <row r="404" spans="1:8" ht="15.6" x14ac:dyDescent="0.3">
      <c r="A404" s="4" t="s">
        <v>446</v>
      </c>
      <c r="B404" s="5" t="s">
        <v>454</v>
      </c>
      <c r="C404" s="5" t="s">
        <v>23</v>
      </c>
      <c r="D404" s="5">
        <v>9</v>
      </c>
      <c r="E404" s="5">
        <v>5</v>
      </c>
      <c r="F404" s="5">
        <v>0</v>
      </c>
      <c r="G404" s="6">
        <v>0</v>
      </c>
      <c r="H404" s="6">
        <v>19</v>
      </c>
    </row>
    <row r="405" spans="1:8" ht="15.6" x14ac:dyDescent="0.3">
      <c r="A405" s="4" t="s">
        <v>446</v>
      </c>
      <c r="B405" s="5" t="s">
        <v>455</v>
      </c>
      <c r="C405" s="5" t="s">
        <v>19</v>
      </c>
      <c r="D405" s="5">
        <v>4</v>
      </c>
      <c r="E405" s="5">
        <v>10</v>
      </c>
      <c r="F405" s="5">
        <v>25</v>
      </c>
      <c r="G405" s="6">
        <v>4</v>
      </c>
      <c r="H405" s="6">
        <v>37.25</v>
      </c>
    </row>
    <row r="406" spans="1:8" ht="15.6" x14ac:dyDescent="0.3">
      <c r="A406" s="4" t="s">
        <v>446</v>
      </c>
      <c r="B406" s="5" t="s">
        <v>456</v>
      </c>
      <c r="C406" s="5" t="s">
        <v>12</v>
      </c>
      <c r="D406" s="5">
        <v>40</v>
      </c>
      <c r="E406" s="5">
        <v>3</v>
      </c>
      <c r="F406" s="5">
        <v>24</v>
      </c>
      <c r="G406" s="6">
        <v>5</v>
      </c>
      <c r="H406" s="6">
        <v>62.2</v>
      </c>
    </row>
    <row r="407" spans="1:8" ht="15.6" x14ac:dyDescent="0.3">
      <c r="A407" s="4" t="s">
        <v>446</v>
      </c>
      <c r="B407" s="5" t="s">
        <v>457</v>
      </c>
      <c r="C407" s="5" t="s">
        <v>21</v>
      </c>
      <c r="D407" s="5">
        <v>16</v>
      </c>
      <c r="E407" s="5">
        <v>7</v>
      </c>
      <c r="F407" s="5">
        <v>31</v>
      </c>
      <c r="G407" s="6">
        <v>4</v>
      </c>
      <c r="H407" s="6">
        <v>43.55</v>
      </c>
    </row>
    <row r="408" spans="1:8" ht="15.6" x14ac:dyDescent="0.3">
      <c r="A408" s="4" t="s">
        <v>458</v>
      </c>
      <c r="B408" s="5" t="s">
        <v>459</v>
      </c>
      <c r="C408" s="5" t="s">
        <v>9</v>
      </c>
      <c r="D408" s="5">
        <v>8</v>
      </c>
      <c r="E408" s="5">
        <v>10</v>
      </c>
      <c r="F408" s="5">
        <v>0</v>
      </c>
      <c r="G408" s="6">
        <v>4</v>
      </c>
      <c r="H408" s="6">
        <v>40</v>
      </c>
    </row>
    <row r="409" spans="1:8" ht="15.6" x14ac:dyDescent="0.3">
      <c r="A409" s="4" t="s">
        <v>458</v>
      </c>
      <c r="B409" s="5" t="s">
        <v>460</v>
      </c>
      <c r="C409" s="5" t="s">
        <v>19</v>
      </c>
      <c r="D409" s="5">
        <v>3</v>
      </c>
      <c r="E409" s="5">
        <v>2</v>
      </c>
      <c r="F409" s="5">
        <v>43</v>
      </c>
      <c r="G409" s="6">
        <v>0</v>
      </c>
      <c r="H409" s="6">
        <v>9.15</v>
      </c>
    </row>
    <row r="410" spans="1:8" ht="15.6" x14ac:dyDescent="0.3">
      <c r="A410" s="4" t="s">
        <v>458</v>
      </c>
      <c r="B410" s="5" t="s">
        <v>461</v>
      </c>
      <c r="C410" s="5" t="s">
        <v>19</v>
      </c>
      <c r="D410" s="5">
        <v>1</v>
      </c>
      <c r="E410" s="5">
        <v>9</v>
      </c>
      <c r="F410" s="5">
        <v>54</v>
      </c>
      <c r="G410" s="6">
        <v>4</v>
      </c>
      <c r="H410" s="6">
        <v>33.700000000000003</v>
      </c>
    </row>
    <row r="411" spans="1:8" ht="15.6" x14ac:dyDescent="0.3">
      <c r="A411" s="4" t="s">
        <v>458</v>
      </c>
      <c r="B411" s="5" t="s">
        <v>462</v>
      </c>
      <c r="C411" s="5" t="s">
        <v>21</v>
      </c>
      <c r="D411" s="5">
        <v>5</v>
      </c>
      <c r="E411" s="5">
        <v>8</v>
      </c>
      <c r="F411" s="5">
        <v>71</v>
      </c>
      <c r="G411" s="6">
        <v>4</v>
      </c>
      <c r="H411" s="6">
        <v>36.549999999999997</v>
      </c>
    </row>
    <row r="412" spans="1:8" ht="15.6" x14ac:dyDescent="0.3">
      <c r="A412" s="4" t="s">
        <v>458</v>
      </c>
      <c r="B412" s="5" t="s">
        <v>463</v>
      </c>
      <c r="C412" s="5" t="s">
        <v>19</v>
      </c>
      <c r="D412" s="5">
        <v>9</v>
      </c>
      <c r="E412" s="5">
        <v>4</v>
      </c>
      <c r="F412" s="5">
        <v>88</v>
      </c>
      <c r="G412" s="6">
        <v>0</v>
      </c>
      <c r="H412" s="6">
        <v>21.4</v>
      </c>
    </row>
    <row r="413" spans="1:8" ht="15.6" x14ac:dyDescent="0.3">
      <c r="A413" s="4" t="s">
        <v>458</v>
      </c>
      <c r="B413" s="5" t="s">
        <v>464</v>
      </c>
      <c r="C413" s="5" t="s">
        <v>19</v>
      </c>
      <c r="D413" s="5">
        <v>27</v>
      </c>
      <c r="E413" s="5">
        <v>1</v>
      </c>
      <c r="F413" s="5">
        <v>2</v>
      </c>
      <c r="G413" s="6">
        <v>0</v>
      </c>
      <c r="H413" s="6">
        <v>29.1</v>
      </c>
    </row>
    <row r="414" spans="1:8" ht="15.6" x14ac:dyDescent="0.3">
      <c r="A414" s="4" t="s">
        <v>458</v>
      </c>
      <c r="B414" s="5" t="s">
        <v>465</v>
      </c>
      <c r="C414" s="5" t="s">
        <v>19</v>
      </c>
      <c r="D414" s="5">
        <v>15</v>
      </c>
      <c r="E414" s="5">
        <v>2</v>
      </c>
      <c r="F414" s="5">
        <v>108</v>
      </c>
      <c r="G414" s="6">
        <v>1</v>
      </c>
      <c r="H414" s="6">
        <v>27.4</v>
      </c>
    </row>
    <row r="415" spans="1:8" ht="15.6" x14ac:dyDescent="0.3">
      <c r="A415" s="4" t="s">
        <v>458</v>
      </c>
      <c r="B415" s="5" t="s">
        <v>466</v>
      </c>
      <c r="C415" s="5" t="s">
        <v>23</v>
      </c>
      <c r="D415" s="5">
        <v>46</v>
      </c>
      <c r="E415" s="5">
        <v>7</v>
      </c>
      <c r="F415" s="5">
        <v>107</v>
      </c>
      <c r="G415" s="6">
        <v>2</v>
      </c>
      <c r="H415" s="6">
        <v>71.349999999999994</v>
      </c>
    </row>
    <row r="416" spans="1:8" ht="15.6" x14ac:dyDescent="0.3">
      <c r="A416" s="4" t="s">
        <v>467</v>
      </c>
      <c r="B416" s="5" t="s">
        <v>468</v>
      </c>
      <c r="C416" s="5" t="s">
        <v>9</v>
      </c>
      <c r="D416" s="5">
        <v>37</v>
      </c>
      <c r="E416" s="5">
        <v>4</v>
      </c>
      <c r="F416" s="5">
        <v>20</v>
      </c>
      <c r="G416" s="6">
        <v>3</v>
      </c>
      <c r="H416" s="6">
        <v>55</v>
      </c>
    </row>
    <row r="417" spans="1:8" ht="15.6" x14ac:dyDescent="0.3">
      <c r="A417" s="4" t="s">
        <v>467</v>
      </c>
      <c r="B417" s="5" t="s">
        <v>469</v>
      </c>
      <c r="C417" s="5" t="s">
        <v>12</v>
      </c>
      <c r="D417" s="5">
        <v>22</v>
      </c>
      <c r="E417" s="5">
        <v>4</v>
      </c>
      <c r="F417" s="5">
        <v>27</v>
      </c>
      <c r="G417" s="6">
        <v>1</v>
      </c>
      <c r="H417" s="6">
        <v>34.35</v>
      </c>
    </row>
    <row r="418" spans="1:8" ht="15.6" x14ac:dyDescent="0.3">
      <c r="A418" s="4" t="s">
        <v>467</v>
      </c>
      <c r="B418" s="5" t="s">
        <v>470</v>
      </c>
      <c r="C418" s="5" t="s">
        <v>12</v>
      </c>
      <c r="D418" s="5">
        <v>13</v>
      </c>
      <c r="E418" s="5">
        <v>6</v>
      </c>
      <c r="F418" s="5">
        <v>112</v>
      </c>
      <c r="G418" s="6">
        <v>1</v>
      </c>
      <c r="H418" s="6">
        <v>33.6</v>
      </c>
    </row>
    <row r="419" spans="1:8" ht="15.6" x14ac:dyDescent="0.3">
      <c r="A419" s="4" t="s">
        <v>467</v>
      </c>
      <c r="B419" s="5" t="s">
        <v>471</v>
      </c>
      <c r="C419" s="5" t="s">
        <v>9</v>
      </c>
      <c r="D419" s="5">
        <v>7</v>
      </c>
      <c r="E419" s="5">
        <v>10</v>
      </c>
      <c r="F419" s="5">
        <v>87</v>
      </c>
      <c r="G419" s="6">
        <v>1</v>
      </c>
      <c r="H419" s="6">
        <v>34.35</v>
      </c>
    </row>
    <row r="420" spans="1:8" ht="15.6" x14ac:dyDescent="0.3">
      <c r="A420" s="4" t="s">
        <v>467</v>
      </c>
      <c r="B420" s="5" t="s">
        <v>472</v>
      </c>
      <c r="C420" s="5" t="s">
        <v>19</v>
      </c>
      <c r="D420" s="5">
        <v>32</v>
      </c>
      <c r="E420" s="5">
        <v>8</v>
      </c>
      <c r="F420" s="5">
        <v>105</v>
      </c>
      <c r="G420" s="6">
        <v>2</v>
      </c>
      <c r="H420" s="6">
        <v>59.25</v>
      </c>
    </row>
    <row r="421" spans="1:8" ht="15.6" x14ac:dyDescent="0.3">
      <c r="A421" s="4" t="s">
        <v>467</v>
      </c>
      <c r="B421" s="5" t="s">
        <v>473</v>
      </c>
      <c r="C421" s="5" t="s">
        <v>9</v>
      </c>
      <c r="D421" s="5">
        <v>26</v>
      </c>
      <c r="E421" s="5">
        <v>7</v>
      </c>
      <c r="F421" s="5">
        <v>25</v>
      </c>
      <c r="G421" s="6">
        <v>4</v>
      </c>
      <c r="H421" s="6">
        <v>53.25</v>
      </c>
    </row>
    <row r="422" spans="1:8" ht="15.6" x14ac:dyDescent="0.3">
      <c r="A422" s="4" t="s">
        <v>467</v>
      </c>
      <c r="B422" s="5" t="s">
        <v>474</v>
      </c>
      <c r="C422" s="5" t="s">
        <v>19</v>
      </c>
      <c r="D422" s="5">
        <v>16</v>
      </c>
      <c r="E422" s="5">
        <v>6</v>
      </c>
      <c r="F422" s="5">
        <v>95</v>
      </c>
      <c r="G422" s="6">
        <v>1</v>
      </c>
      <c r="H422" s="6">
        <v>35.75</v>
      </c>
    </row>
    <row r="423" spans="1:8" ht="15.6" x14ac:dyDescent="0.3">
      <c r="A423" s="4" t="s">
        <v>467</v>
      </c>
      <c r="B423" s="5" t="s">
        <v>475</v>
      </c>
      <c r="C423" s="5" t="s">
        <v>19</v>
      </c>
      <c r="D423" s="5">
        <v>47</v>
      </c>
      <c r="E423" s="5">
        <v>8</v>
      </c>
      <c r="F423" s="5">
        <v>117</v>
      </c>
      <c r="G423" s="6">
        <v>5</v>
      </c>
      <c r="H423" s="6">
        <v>83.85</v>
      </c>
    </row>
    <row r="424" spans="1:8" ht="15.6" x14ac:dyDescent="0.3">
      <c r="A424" s="4" t="s">
        <v>467</v>
      </c>
      <c r="B424" s="5" t="s">
        <v>476</v>
      </c>
      <c r="C424" s="5" t="s">
        <v>9</v>
      </c>
      <c r="D424" s="5">
        <v>17</v>
      </c>
      <c r="E424" s="5">
        <v>4</v>
      </c>
      <c r="F424" s="5">
        <v>20</v>
      </c>
      <c r="G424" s="6">
        <v>2</v>
      </c>
      <c r="H424" s="6">
        <v>32</v>
      </c>
    </row>
    <row r="425" spans="1:8" ht="15.6" x14ac:dyDescent="0.3">
      <c r="A425" s="4" t="s">
        <v>467</v>
      </c>
      <c r="B425" s="5" t="s">
        <v>477</v>
      </c>
      <c r="C425" s="5" t="s">
        <v>19</v>
      </c>
      <c r="D425" s="5">
        <v>11</v>
      </c>
      <c r="E425" s="5">
        <v>5</v>
      </c>
      <c r="F425" s="5">
        <v>71</v>
      </c>
      <c r="G425" s="6">
        <v>5</v>
      </c>
      <c r="H425" s="6">
        <v>39.549999999999997</v>
      </c>
    </row>
    <row r="426" spans="1:8" ht="15.6" x14ac:dyDescent="0.3">
      <c r="A426" s="4" t="s">
        <v>467</v>
      </c>
      <c r="B426" s="5" t="s">
        <v>478</v>
      </c>
      <c r="C426" s="5" t="s">
        <v>15</v>
      </c>
      <c r="D426" s="5">
        <v>38</v>
      </c>
      <c r="E426" s="5">
        <v>1</v>
      </c>
      <c r="F426" s="5">
        <v>32</v>
      </c>
      <c r="G426" s="6">
        <v>3</v>
      </c>
      <c r="H426" s="6">
        <v>50.6</v>
      </c>
    </row>
    <row r="427" spans="1:8" ht="15.6" x14ac:dyDescent="0.3">
      <c r="A427" s="4" t="s">
        <v>467</v>
      </c>
      <c r="B427" s="5" t="s">
        <v>479</v>
      </c>
      <c r="C427" s="5" t="s">
        <v>19</v>
      </c>
      <c r="D427" s="5">
        <v>36</v>
      </c>
      <c r="E427" s="5">
        <v>3</v>
      </c>
      <c r="F427" s="5">
        <v>6</v>
      </c>
      <c r="G427" s="6">
        <v>3</v>
      </c>
      <c r="H427" s="6">
        <v>51.3</v>
      </c>
    </row>
    <row r="428" spans="1:8" ht="15.6" x14ac:dyDescent="0.3">
      <c r="A428" s="4" t="s">
        <v>480</v>
      </c>
      <c r="B428" s="5" t="s">
        <v>481</v>
      </c>
      <c r="C428" s="5" t="s">
        <v>23</v>
      </c>
      <c r="D428" s="5">
        <v>5</v>
      </c>
      <c r="E428" s="5">
        <v>3</v>
      </c>
      <c r="F428" s="5">
        <v>19</v>
      </c>
      <c r="G428" s="6">
        <v>5</v>
      </c>
      <c r="H428" s="6">
        <v>26.95</v>
      </c>
    </row>
    <row r="429" spans="1:8" ht="15.6" x14ac:dyDescent="0.3">
      <c r="A429" s="4" t="s">
        <v>480</v>
      </c>
      <c r="B429" s="5" t="s">
        <v>482</v>
      </c>
      <c r="C429" s="5" t="s">
        <v>21</v>
      </c>
      <c r="D429" s="5">
        <v>36</v>
      </c>
      <c r="E429" s="5">
        <v>3</v>
      </c>
      <c r="F429" s="5">
        <v>22</v>
      </c>
      <c r="G429" s="6">
        <v>1</v>
      </c>
      <c r="H429" s="6">
        <v>46.1</v>
      </c>
    </row>
    <row r="430" spans="1:8" ht="15.6" x14ac:dyDescent="0.3">
      <c r="A430" s="4" t="s">
        <v>480</v>
      </c>
      <c r="B430" s="5" t="s">
        <v>483</v>
      </c>
      <c r="C430" s="5" t="s">
        <v>15</v>
      </c>
      <c r="D430" s="5">
        <v>41</v>
      </c>
      <c r="E430" s="5">
        <v>5</v>
      </c>
      <c r="F430" s="5">
        <v>9</v>
      </c>
      <c r="G430" s="6">
        <v>4</v>
      </c>
      <c r="H430" s="6">
        <v>63.45</v>
      </c>
    </row>
    <row r="431" spans="1:8" ht="15.6" x14ac:dyDescent="0.3">
      <c r="A431" s="4" t="s">
        <v>480</v>
      </c>
      <c r="B431" s="5" t="s">
        <v>484</v>
      </c>
      <c r="C431" s="5" t="s">
        <v>9</v>
      </c>
      <c r="D431" s="5">
        <v>42</v>
      </c>
      <c r="E431" s="5">
        <v>0</v>
      </c>
      <c r="F431" s="5">
        <v>80</v>
      </c>
      <c r="G431" s="6">
        <v>1</v>
      </c>
      <c r="H431" s="6">
        <v>49</v>
      </c>
    </row>
    <row r="432" spans="1:8" ht="15.6" x14ac:dyDescent="0.3">
      <c r="A432" s="4" t="s">
        <v>485</v>
      </c>
      <c r="B432" s="5" t="s">
        <v>486</v>
      </c>
      <c r="C432" s="5" t="s">
        <v>19</v>
      </c>
      <c r="D432" s="5">
        <v>23</v>
      </c>
      <c r="E432" s="5">
        <v>7</v>
      </c>
      <c r="F432" s="5">
        <v>5</v>
      </c>
      <c r="G432" s="6">
        <v>5</v>
      </c>
      <c r="H432" s="6">
        <v>52.25</v>
      </c>
    </row>
    <row r="433" spans="1:8" ht="15.6" x14ac:dyDescent="0.3">
      <c r="A433" s="4" t="s">
        <v>485</v>
      </c>
      <c r="B433" s="5" t="s">
        <v>487</v>
      </c>
      <c r="C433" s="5" t="s">
        <v>15</v>
      </c>
      <c r="D433" s="5">
        <v>14</v>
      </c>
      <c r="E433" s="5">
        <v>6</v>
      </c>
      <c r="F433" s="5">
        <v>2</v>
      </c>
      <c r="G433" s="6">
        <v>1</v>
      </c>
      <c r="H433" s="6">
        <v>29.1</v>
      </c>
    </row>
    <row r="434" spans="1:8" ht="15.6" x14ac:dyDescent="0.3">
      <c r="A434" s="4" t="s">
        <v>485</v>
      </c>
      <c r="B434" s="5" t="s">
        <v>488</v>
      </c>
      <c r="C434" s="5" t="s">
        <v>21</v>
      </c>
      <c r="D434" s="5">
        <v>7</v>
      </c>
      <c r="E434" s="5">
        <v>4</v>
      </c>
      <c r="F434" s="5">
        <v>7</v>
      </c>
      <c r="G434" s="6">
        <v>5</v>
      </c>
      <c r="H434" s="6">
        <v>30.35</v>
      </c>
    </row>
    <row r="435" spans="1:8" ht="15.6" x14ac:dyDescent="0.3">
      <c r="A435" s="4" t="s">
        <v>485</v>
      </c>
      <c r="B435" s="5" t="s">
        <v>489</v>
      </c>
      <c r="C435" s="5" t="s">
        <v>15</v>
      </c>
      <c r="D435" s="5">
        <v>37</v>
      </c>
      <c r="E435" s="5">
        <v>8</v>
      </c>
      <c r="F435" s="5">
        <v>110</v>
      </c>
      <c r="G435" s="6">
        <v>5</v>
      </c>
      <c r="H435" s="6">
        <v>73.5</v>
      </c>
    </row>
    <row r="436" spans="1:8" ht="15.6" x14ac:dyDescent="0.3">
      <c r="A436" s="4" t="s">
        <v>485</v>
      </c>
      <c r="B436" s="5" t="s">
        <v>490</v>
      </c>
      <c r="C436" s="5" t="s">
        <v>19</v>
      </c>
      <c r="D436" s="5">
        <v>39</v>
      </c>
      <c r="E436" s="5">
        <v>6</v>
      </c>
      <c r="F436" s="5">
        <v>64</v>
      </c>
      <c r="G436" s="6">
        <v>2</v>
      </c>
      <c r="H436" s="6">
        <v>60.2</v>
      </c>
    </row>
    <row r="437" spans="1:8" ht="15.6" x14ac:dyDescent="0.3">
      <c r="A437" s="4" t="s">
        <v>485</v>
      </c>
      <c r="B437" s="5" t="s">
        <v>491</v>
      </c>
      <c r="C437" s="5" t="s">
        <v>21</v>
      </c>
      <c r="D437" s="5">
        <v>10</v>
      </c>
      <c r="E437" s="5">
        <v>8</v>
      </c>
      <c r="F437" s="5">
        <v>83</v>
      </c>
      <c r="G437" s="6">
        <v>0</v>
      </c>
      <c r="H437" s="6">
        <v>30.15</v>
      </c>
    </row>
    <row r="438" spans="1:8" ht="15.6" x14ac:dyDescent="0.3">
      <c r="A438" s="4" t="s">
        <v>485</v>
      </c>
      <c r="B438" s="5" t="s">
        <v>492</v>
      </c>
      <c r="C438" s="5" t="s">
        <v>15</v>
      </c>
      <c r="D438" s="5">
        <v>37</v>
      </c>
      <c r="E438" s="5">
        <v>4</v>
      </c>
      <c r="F438" s="5">
        <v>36</v>
      </c>
      <c r="G438" s="6">
        <v>3</v>
      </c>
      <c r="H438" s="6">
        <v>55.8</v>
      </c>
    </row>
    <row r="439" spans="1:8" ht="15.6" x14ac:dyDescent="0.3">
      <c r="A439" s="4" t="s">
        <v>485</v>
      </c>
      <c r="B439" s="5" t="s">
        <v>493</v>
      </c>
      <c r="C439" s="5" t="s">
        <v>15</v>
      </c>
      <c r="D439" s="5">
        <v>35</v>
      </c>
      <c r="E439" s="5">
        <v>5</v>
      </c>
      <c r="F439" s="5">
        <v>0</v>
      </c>
      <c r="G439" s="6">
        <v>3</v>
      </c>
      <c r="H439" s="6">
        <v>54</v>
      </c>
    </row>
    <row r="440" spans="1:8" ht="15.6" x14ac:dyDescent="0.3">
      <c r="A440" s="4" t="s">
        <v>485</v>
      </c>
      <c r="B440" s="5" t="s">
        <v>494</v>
      </c>
      <c r="C440" s="5" t="s">
        <v>12</v>
      </c>
      <c r="D440" s="5">
        <v>44</v>
      </c>
      <c r="E440" s="5">
        <v>4</v>
      </c>
      <c r="F440" s="5">
        <v>118</v>
      </c>
      <c r="G440" s="6">
        <v>5</v>
      </c>
      <c r="H440" s="6">
        <v>72.900000000000006</v>
      </c>
    </row>
    <row r="441" spans="1:8" ht="15.6" x14ac:dyDescent="0.3">
      <c r="A441" s="4" t="s">
        <v>485</v>
      </c>
      <c r="B441" s="5" t="s">
        <v>495</v>
      </c>
      <c r="C441" s="5" t="s">
        <v>9</v>
      </c>
      <c r="D441" s="5">
        <v>4</v>
      </c>
      <c r="E441" s="5">
        <v>8</v>
      </c>
      <c r="F441" s="5">
        <v>7</v>
      </c>
      <c r="G441" s="6">
        <v>2</v>
      </c>
      <c r="H441" s="6">
        <v>26.35</v>
      </c>
    </row>
    <row r="442" spans="1:8" ht="15.6" x14ac:dyDescent="0.3">
      <c r="A442" s="4" t="s">
        <v>485</v>
      </c>
      <c r="B442" s="5" t="s">
        <v>496</v>
      </c>
      <c r="C442" s="5" t="s">
        <v>23</v>
      </c>
      <c r="D442" s="5">
        <v>4</v>
      </c>
      <c r="E442" s="5">
        <v>1</v>
      </c>
      <c r="F442" s="5">
        <v>72</v>
      </c>
      <c r="G442" s="6">
        <v>1</v>
      </c>
      <c r="H442" s="6">
        <v>12.6</v>
      </c>
    </row>
    <row r="443" spans="1:8" ht="15.6" x14ac:dyDescent="0.3">
      <c r="A443" s="4" t="s">
        <v>485</v>
      </c>
      <c r="B443" s="5" t="s">
        <v>497</v>
      </c>
      <c r="C443" s="5" t="s">
        <v>12</v>
      </c>
      <c r="D443" s="5">
        <v>7</v>
      </c>
      <c r="E443" s="5">
        <v>7</v>
      </c>
      <c r="F443" s="5">
        <v>3</v>
      </c>
      <c r="G443" s="6">
        <v>3</v>
      </c>
      <c r="H443" s="6">
        <v>30.15</v>
      </c>
    </row>
    <row r="444" spans="1:8" ht="15.6" x14ac:dyDescent="0.3">
      <c r="A444" s="4" t="s">
        <v>485</v>
      </c>
      <c r="B444" s="5" t="s">
        <v>498</v>
      </c>
      <c r="C444" s="5" t="s">
        <v>23</v>
      </c>
      <c r="D444" s="5">
        <v>28</v>
      </c>
      <c r="E444" s="5">
        <v>10</v>
      </c>
      <c r="F444" s="5">
        <v>14</v>
      </c>
      <c r="G444" s="6">
        <v>3</v>
      </c>
      <c r="H444" s="6">
        <v>57.7</v>
      </c>
    </row>
    <row r="445" spans="1:8" ht="15.6" x14ac:dyDescent="0.3">
      <c r="A445" s="4" t="s">
        <v>485</v>
      </c>
      <c r="B445" s="5" t="s">
        <v>499</v>
      </c>
      <c r="C445" s="5" t="s">
        <v>23</v>
      </c>
      <c r="D445" s="5">
        <v>44</v>
      </c>
      <c r="E445" s="5">
        <v>5</v>
      </c>
      <c r="F445" s="5">
        <v>34</v>
      </c>
      <c r="G445" s="6">
        <v>0</v>
      </c>
      <c r="H445" s="6">
        <v>55.7</v>
      </c>
    </row>
    <row r="446" spans="1:8" ht="15.6" x14ac:dyDescent="0.3">
      <c r="A446" s="4" t="s">
        <v>500</v>
      </c>
      <c r="B446" s="5" t="s">
        <v>501</v>
      </c>
      <c r="C446" s="5" t="s">
        <v>21</v>
      </c>
      <c r="D446" s="5">
        <v>30</v>
      </c>
      <c r="E446" s="5">
        <v>6</v>
      </c>
      <c r="F446" s="5">
        <v>79</v>
      </c>
      <c r="G446" s="6">
        <v>3</v>
      </c>
      <c r="H446" s="6">
        <v>54.95</v>
      </c>
    </row>
    <row r="447" spans="1:8" ht="15.6" x14ac:dyDescent="0.3">
      <c r="A447" s="4" t="s">
        <v>500</v>
      </c>
      <c r="B447" s="5" t="s">
        <v>502</v>
      </c>
      <c r="C447" s="5" t="s">
        <v>23</v>
      </c>
      <c r="D447" s="5">
        <v>10</v>
      </c>
      <c r="E447" s="5">
        <v>4</v>
      </c>
      <c r="F447" s="5">
        <v>104</v>
      </c>
      <c r="G447" s="6">
        <v>1</v>
      </c>
      <c r="H447" s="6">
        <v>26.2</v>
      </c>
    </row>
    <row r="448" spans="1:8" ht="15.6" x14ac:dyDescent="0.3">
      <c r="A448" s="4" t="s">
        <v>500</v>
      </c>
      <c r="B448" s="5" t="s">
        <v>503</v>
      </c>
      <c r="C448" s="5" t="s">
        <v>21</v>
      </c>
      <c r="D448" s="5">
        <v>34</v>
      </c>
      <c r="E448" s="5">
        <v>6</v>
      </c>
      <c r="F448" s="5">
        <v>7</v>
      </c>
      <c r="G448" s="6">
        <v>1</v>
      </c>
      <c r="H448" s="6">
        <v>49.35</v>
      </c>
    </row>
    <row r="449" spans="1:8" ht="15.6" x14ac:dyDescent="0.3">
      <c r="A449" s="4" t="s">
        <v>500</v>
      </c>
      <c r="B449" s="5" t="s">
        <v>504</v>
      </c>
      <c r="C449" s="5" t="s">
        <v>9</v>
      </c>
      <c r="D449" s="5">
        <v>37</v>
      </c>
      <c r="E449" s="5">
        <v>10</v>
      </c>
      <c r="F449" s="5">
        <v>42</v>
      </c>
      <c r="G449" s="6">
        <v>4</v>
      </c>
      <c r="H449" s="6">
        <v>71.099999999999994</v>
      </c>
    </row>
    <row r="450" spans="1:8" ht="15.6" x14ac:dyDescent="0.3">
      <c r="A450" s="4" t="s">
        <v>500</v>
      </c>
      <c r="B450" s="5" t="s">
        <v>505</v>
      </c>
      <c r="C450" s="5" t="s">
        <v>21</v>
      </c>
      <c r="D450" s="5">
        <v>37</v>
      </c>
      <c r="E450" s="5">
        <v>0</v>
      </c>
      <c r="F450" s="5">
        <v>118</v>
      </c>
      <c r="G450" s="6">
        <v>0</v>
      </c>
      <c r="H450" s="6">
        <v>42.9</v>
      </c>
    </row>
    <row r="451" spans="1:8" ht="15.6" x14ac:dyDescent="0.3">
      <c r="A451" s="4" t="s">
        <v>500</v>
      </c>
      <c r="B451" s="5" t="s">
        <v>506</v>
      </c>
      <c r="C451" s="5" t="s">
        <v>12</v>
      </c>
      <c r="D451" s="5">
        <v>31</v>
      </c>
      <c r="E451" s="5">
        <v>7</v>
      </c>
      <c r="F451" s="5">
        <v>111</v>
      </c>
      <c r="G451" s="6">
        <v>4</v>
      </c>
      <c r="H451" s="6">
        <v>62.55</v>
      </c>
    </row>
    <row r="452" spans="1:8" ht="15.6" x14ac:dyDescent="0.3">
      <c r="A452" s="4" t="s">
        <v>500</v>
      </c>
      <c r="B452" s="5" t="s">
        <v>507</v>
      </c>
      <c r="C452" s="5" t="s">
        <v>19</v>
      </c>
      <c r="D452" s="5">
        <v>34</v>
      </c>
      <c r="E452" s="5">
        <v>0</v>
      </c>
      <c r="F452" s="5">
        <v>23</v>
      </c>
      <c r="G452" s="6">
        <v>0</v>
      </c>
      <c r="H452" s="6">
        <v>35.15</v>
      </c>
    </row>
    <row r="453" spans="1:8" ht="15.6" x14ac:dyDescent="0.3">
      <c r="A453" s="4" t="s">
        <v>500</v>
      </c>
      <c r="B453" s="5" t="s">
        <v>508</v>
      </c>
      <c r="C453" s="5" t="s">
        <v>19</v>
      </c>
      <c r="D453" s="5">
        <v>5</v>
      </c>
      <c r="E453" s="5">
        <v>8</v>
      </c>
      <c r="F453" s="5">
        <v>9</v>
      </c>
      <c r="G453" s="6">
        <v>4</v>
      </c>
      <c r="H453" s="6">
        <v>33.450000000000003</v>
      </c>
    </row>
    <row r="454" spans="1:8" ht="15.6" x14ac:dyDescent="0.3">
      <c r="A454" s="4" t="s">
        <v>500</v>
      </c>
      <c r="B454" s="5" t="s">
        <v>509</v>
      </c>
      <c r="C454" s="5" t="s">
        <v>9</v>
      </c>
      <c r="D454" s="5">
        <v>25</v>
      </c>
      <c r="E454" s="5">
        <v>6</v>
      </c>
      <c r="F454" s="5">
        <v>38</v>
      </c>
      <c r="G454" s="6">
        <v>3</v>
      </c>
      <c r="H454" s="6">
        <v>47.9</v>
      </c>
    </row>
    <row r="455" spans="1:8" ht="15.6" x14ac:dyDescent="0.3">
      <c r="A455" s="4" t="s">
        <v>510</v>
      </c>
      <c r="B455" s="5" t="s">
        <v>511</v>
      </c>
      <c r="C455" s="5" t="s">
        <v>9</v>
      </c>
      <c r="D455" s="5">
        <v>28</v>
      </c>
      <c r="E455" s="5">
        <v>3</v>
      </c>
      <c r="F455" s="5">
        <v>69</v>
      </c>
      <c r="G455" s="6">
        <v>5</v>
      </c>
      <c r="H455" s="6">
        <v>52.45</v>
      </c>
    </row>
    <row r="456" spans="1:8" ht="15.6" x14ac:dyDescent="0.3">
      <c r="A456" s="4" t="s">
        <v>510</v>
      </c>
      <c r="B456" s="5" t="s">
        <v>512</v>
      </c>
      <c r="C456" s="5" t="s">
        <v>21</v>
      </c>
      <c r="D456" s="5">
        <v>7</v>
      </c>
      <c r="E456" s="5">
        <v>10</v>
      </c>
      <c r="F456" s="5">
        <v>18</v>
      </c>
      <c r="G456" s="6">
        <v>2</v>
      </c>
      <c r="H456" s="6">
        <v>33.9</v>
      </c>
    </row>
    <row r="457" spans="1:8" ht="15.6" x14ac:dyDescent="0.3">
      <c r="A457" s="4" t="s">
        <v>510</v>
      </c>
      <c r="B457" s="5" t="s">
        <v>513</v>
      </c>
      <c r="C457" s="5" t="s">
        <v>23</v>
      </c>
      <c r="D457" s="5">
        <v>50</v>
      </c>
      <c r="E457" s="5">
        <v>8</v>
      </c>
      <c r="F457" s="5">
        <v>74</v>
      </c>
      <c r="G457" s="6">
        <v>5</v>
      </c>
      <c r="H457" s="6">
        <v>84.7</v>
      </c>
    </row>
    <row r="458" spans="1:8" ht="15.6" x14ac:dyDescent="0.3">
      <c r="A458" s="4" t="s">
        <v>510</v>
      </c>
      <c r="B458" s="5" t="s">
        <v>514</v>
      </c>
      <c r="C458" s="5" t="s">
        <v>19</v>
      </c>
      <c r="D458" s="5">
        <v>23</v>
      </c>
      <c r="E458" s="5">
        <v>2</v>
      </c>
      <c r="F458" s="5">
        <v>70</v>
      </c>
      <c r="G458" s="6">
        <v>0</v>
      </c>
      <c r="H458" s="6">
        <v>30.5</v>
      </c>
    </row>
    <row r="459" spans="1:8" ht="15.6" x14ac:dyDescent="0.3">
      <c r="A459" s="4" t="s">
        <v>510</v>
      </c>
      <c r="B459" s="5" t="s">
        <v>515</v>
      </c>
      <c r="C459" s="5" t="s">
        <v>12</v>
      </c>
      <c r="D459" s="5">
        <v>6</v>
      </c>
      <c r="E459" s="5">
        <v>5</v>
      </c>
      <c r="F459" s="5">
        <v>43</v>
      </c>
      <c r="G459" s="6">
        <v>5</v>
      </c>
      <c r="H459" s="6">
        <v>33.15</v>
      </c>
    </row>
    <row r="460" spans="1:8" ht="15.6" x14ac:dyDescent="0.3">
      <c r="A460" s="4" t="s">
        <v>510</v>
      </c>
      <c r="B460" s="5" t="s">
        <v>516</v>
      </c>
      <c r="C460" s="5" t="s">
        <v>23</v>
      </c>
      <c r="D460" s="5">
        <v>16</v>
      </c>
      <c r="E460" s="5">
        <v>0</v>
      </c>
      <c r="F460" s="5">
        <v>38</v>
      </c>
      <c r="G460" s="6">
        <v>0</v>
      </c>
      <c r="H460" s="6">
        <v>17.899999999999999</v>
      </c>
    </row>
    <row r="461" spans="1:8" ht="15.6" x14ac:dyDescent="0.3">
      <c r="A461" s="4" t="s">
        <v>510</v>
      </c>
      <c r="B461" s="5" t="s">
        <v>517</v>
      </c>
      <c r="C461" s="5" t="s">
        <v>12</v>
      </c>
      <c r="D461" s="5">
        <v>34</v>
      </c>
      <c r="E461" s="5">
        <v>0</v>
      </c>
      <c r="F461" s="5">
        <v>59</v>
      </c>
      <c r="G461" s="6">
        <v>2</v>
      </c>
      <c r="H461" s="6">
        <v>42.95</v>
      </c>
    </row>
    <row r="462" spans="1:8" ht="15.6" x14ac:dyDescent="0.3">
      <c r="A462" s="4" t="s">
        <v>518</v>
      </c>
      <c r="B462" s="5" t="s">
        <v>519</v>
      </c>
      <c r="C462" s="5" t="s">
        <v>19</v>
      </c>
      <c r="D462" s="5">
        <v>10</v>
      </c>
      <c r="E462" s="5">
        <v>2</v>
      </c>
      <c r="F462" s="5">
        <v>25</v>
      </c>
      <c r="G462" s="6">
        <v>2</v>
      </c>
      <c r="H462" s="6">
        <v>21.25</v>
      </c>
    </row>
    <row r="463" spans="1:8" ht="15.6" x14ac:dyDescent="0.3">
      <c r="A463" s="4" t="s">
        <v>518</v>
      </c>
      <c r="B463" s="5" t="s">
        <v>520</v>
      </c>
      <c r="C463" s="5" t="s">
        <v>15</v>
      </c>
      <c r="D463" s="5">
        <v>25</v>
      </c>
      <c r="E463" s="5">
        <v>5</v>
      </c>
      <c r="F463" s="5">
        <v>117</v>
      </c>
      <c r="G463" s="6">
        <v>4</v>
      </c>
      <c r="H463" s="6">
        <v>52.85</v>
      </c>
    </row>
    <row r="464" spans="1:8" ht="15.6" x14ac:dyDescent="0.3">
      <c r="A464" s="4" t="s">
        <v>518</v>
      </c>
      <c r="B464" s="5" t="s">
        <v>521</v>
      </c>
      <c r="C464" s="5" t="s">
        <v>15</v>
      </c>
      <c r="D464" s="5">
        <v>10</v>
      </c>
      <c r="E464" s="5">
        <v>8</v>
      </c>
      <c r="F464" s="5">
        <v>119</v>
      </c>
      <c r="G464" s="6">
        <v>1</v>
      </c>
      <c r="H464" s="6">
        <v>34.950000000000003</v>
      </c>
    </row>
    <row r="465" spans="1:8" ht="15.6" x14ac:dyDescent="0.3">
      <c r="A465" s="4" t="s">
        <v>518</v>
      </c>
      <c r="B465" s="5" t="s">
        <v>522</v>
      </c>
      <c r="C465" s="5" t="s">
        <v>19</v>
      </c>
      <c r="D465" s="5">
        <v>4</v>
      </c>
      <c r="E465" s="5">
        <v>7</v>
      </c>
      <c r="F465" s="5">
        <v>92</v>
      </c>
      <c r="G465" s="6">
        <v>3</v>
      </c>
      <c r="H465" s="6">
        <v>31.6</v>
      </c>
    </row>
    <row r="466" spans="1:8" ht="15.6" x14ac:dyDescent="0.3">
      <c r="A466" s="4" t="s">
        <v>518</v>
      </c>
      <c r="B466" s="5" t="s">
        <v>523</v>
      </c>
      <c r="C466" s="5" t="s">
        <v>12</v>
      </c>
      <c r="D466" s="5">
        <v>46</v>
      </c>
      <c r="E466" s="5">
        <v>4</v>
      </c>
      <c r="F466" s="5">
        <v>100</v>
      </c>
      <c r="G466" s="6">
        <v>1</v>
      </c>
      <c r="H466" s="6">
        <v>62</v>
      </c>
    </row>
    <row r="467" spans="1:8" ht="15.6" x14ac:dyDescent="0.3">
      <c r="A467" s="4" t="s">
        <v>518</v>
      </c>
      <c r="B467" s="5" t="s">
        <v>524</v>
      </c>
      <c r="C467" s="5" t="s">
        <v>23</v>
      </c>
      <c r="D467" s="5">
        <v>31</v>
      </c>
      <c r="E467" s="5">
        <v>2</v>
      </c>
      <c r="F467" s="5">
        <v>7</v>
      </c>
      <c r="G467" s="6">
        <v>2</v>
      </c>
      <c r="H467" s="6">
        <v>41.35</v>
      </c>
    </row>
    <row r="468" spans="1:8" ht="15.6" x14ac:dyDescent="0.3">
      <c r="A468" s="4" t="s">
        <v>518</v>
      </c>
      <c r="B468" s="5" t="s">
        <v>525</v>
      </c>
      <c r="C468" s="5" t="s">
        <v>9</v>
      </c>
      <c r="D468" s="5">
        <v>18</v>
      </c>
      <c r="E468" s="5">
        <v>7</v>
      </c>
      <c r="F468" s="5">
        <v>46</v>
      </c>
      <c r="G468" s="6">
        <v>1</v>
      </c>
      <c r="H468" s="6">
        <v>37.299999999999997</v>
      </c>
    </row>
    <row r="469" spans="1:8" ht="15.6" x14ac:dyDescent="0.3">
      <c r="A469" s="4" t="s">
        <v>518</v>
      </c>
      <c r="B469" s="5" t="s">
        <v>526</v>
      </c>
      <c r="C469" s="5" t="s">
        <v>12</v>
      </c>
      <c r="D469" s="5">
        <v>41</v>
      </c>
      <c r="E469" s="5">
        <v>7</v>
      </c>
      <c r="F469" s="5">
        <v>76</v>
      </c>
      <c r="G469" s="6">
        <v>2</v>
      </c>
      <c r="H469" s="6">
        <v>64.8</v>
      </c>
    </row>
    <row r="470" spans="1:8" ht="15.6" x14ac:dyDescent="0.3">
      <c r="A470" s="4" t="s">
        <v>518</v>
      </c>
      <c r="B470" s="5" t="s">
        <v>527</v>
      </c>
      <c r="C470" s="5" t="s">
        <v>23</v>
      </c>
      <c r="D470" s="5">
        <v>11</v>
      </c>
      <c r="E470" s="5">
        <v>2</v>
      </c>
      <c r="F470" s="5">
        <v>18</v>
      </c>
      <c r="G470" s="6">
        <v>5</v>
      </c>
      <c r="H470" s="6">
        <v>30.9</v>
      </c>
    </row>
    <row r="471" spans="1:8" ht="15.6" x14ac:dyDescent="0.3">
      <c r="A471" s="4" t="s">
        <v>518</v>
      </c>
      <c r="B471" s="5" t="s">
        <v>528</v>
      </c>
      <c r="C471" s="5" t="s">
        <v>21</v>
      </c>
      <c r="D471" s="5">
        <v>48</v>
      </c>
      <c r="E471" s="5">
        <v>5</v>
      </c>
      <c r="F471" s="5">
        <v>48</v>
      </c>
      <c r="G471" s="6">
        <v>2</v>
      </c>
      <c r="H471" s="6">
        <v>66.400000000000006</v>
      </c>
    </row>
    <row r="472" spans="1:8" ht="15.6" x14ac:dyDescent="0.3">
      <c r="A472" s="4" t="s">
        <v>529</v>
      </c>
      <c r="B472" s="5" t="s">
        <v>530</v>
      </c>
      <c r="C472" s="5" t="s">
        <v>12</v>
      </c>
      <c r="D472" s="5">
        <v>16</v>
      </c>
      <c r="E472" s="5">
        <v>6</v>
      </c>
      <c r="F472" s="5">
        <v>22</v>
      </c>
      <c r="G472" s="6">
        <v>1</v>
      </c>
      <c r="H472" s="6">
        <v>32.1</v>
      </c>
    </row>
    <row r="473" spans="1:8" ht="15.6" x14ac:dyDescent="0.3">
      <c r="A473" s="4" t="s">
        <v>529</v>
      </c>
      <c r="B473" s="5" t="s">
        <v>531</v>
      </c>
      <c r="C473" s="5" t="s">
        <v>21</v>
      </c>
      <c r="D473" s="5">
        <v>38</v>
      </c>
      <c r="E473" s="5">
        <v>8</v>
      </c>
      <c r="F473" s="5">
        <v>19</v>
      </c>
      <c r="G473" s="6">
        <v>0</v>
      </c>
      <c r="H473" s="6">
        <v>54.95</v>
      </c>
    </row>
    <row r="474" spans="1:8" ht="15.6" x14ac:dyDescent="0.3">
      <c r="A474" s="4" t="s">
        <v>529</v>
      </c>
      <c r="B474" s="5" t="s">
        <v>532</v>
      </c>
      <c r="C474" s="5" t="s">
        <v>21</v>
      </c>
      <c r="D474" s="5">
        <v>22</v>
      </c>
      <c r="E474" s="5">
        <v>0</v>
      </c>
      <c r="F474" s="5">
        <v>109</v>
      </c>
      <c r="G474" s="6">
        <v>1</v>
      </c>
      <c r="H474" s="6">
        <v>30.45</v>
      </c>
    </row>
    <row r="475" spans="1:8" ht="15.6" x14ac:dyDescent="0.3">
      <c r="A475" s="4" t="s">
        <v>529</v>
      </c>
      <c r="B475" s="5" t="s">
        <v>533</v>
      </c>
      <c r="C475" s="5" t="s">
        <v>15</v>
      </c>
      <c r="D475" s="5">
        <v>24</v>
      </c>
      <c r="E475" s="5">
        <v>0</v>
      </c>
      <c r="F475" s="5">
        <v>89</v>
      </c>
      <c r="G475" s="6">
        <v>3</v>
      </c>
      <c r="H475" s="6">
        <v>37.450000000000003</v>
      </c>
    </row>
    <row r="476" spans="1:8" ht="15.6" x14ac:dyDescent="0.3">
      <c r="A476" s="4" t="s">
        <v>529</v>
      </c>
      <c r="B476" s="5" t="s">
        <v>534</v>
      </c>
      <c r="C476" s="5" t="s">
        <v>15</v>
      </c>
      <c r="D476" s="5">
        <v>32</v>
      </c>
      <c r="E476" s="5">
        <v>2</v>
      </c>
      <c r="F476" s="5">
        <v>109</v>
      </c>
      <c r="G476" s="6">
        <v>3</v>
      </c>
      <c r="H476" s="6">
        <v>50.45</v>
      </c>
    </row>
    <row r="477" spans="1:8" ht="15.6" x14ac:dyDescent="0.3">
      <c r="A477" s="4" t="s">
        <v>529</v>
      </c>
      <c r="B477" s="5" t="s">
        <v>535</v>
      </c>
      <c r="C477" s="5" t="s">
        <v>9</v>
      </c>
      <c r="D477" s="5">
        <v>48</v>
      </c>
      <c r="E477" s="5">
        <v>3</v>
      </c>
      <c r="F477" s="5">
        <v>71</v>
      </c>
      <c r="G477" s="6">
        <v>2</v>
      </c>
      <c r="H477" s="6">
        <v>63.55</v>
      </c>
    </row>
    <row r="478" spans="1:8" ht="15.6" x14ac:dyDescent="0.3">
      <c r="A478" s="4" t="s">
        <v>529</v>
      </c>
      <c r="B478" s="5" t="s">
        <v>536</v>
      </c>
      <c r="C478" s="5" t="s">
        <v>15</v>
      </c>
      <c r="D478" s="5">
        <v>29</v>
      </c>
      <c r="E478" s="5">
        <v>10</v>
      </c>
      <c r="F478" s="5">
        <v>43</v>
      </c>
      <c r="G478" s="6">
        <v>1</v>
      </c>
      <c r="H478" s="6">
        <v>54.15</v>
      </c>
    </row>
    <row r="479" spans="1:8" ht="15.6" x14ac:dyDescent="0.3">
      <c r="A479" s="4" t="s">
        <v>529</v>
      </c>
      <c r="B479" s="5" t="s">
        <v>537</v>
      </c>
      <c r="C479" s="5" t="s">
        <v>15</v>
      </c>
      <c r="D479" s="5">
        <v>46</v>
      </c>
      <c r="E479" s="5">
        <v>3</v>
      </c>
      <c r="F479" s="5">
        <v>116</v>
      </c>
      <c r="G479" s="6">
        <v>5</v>
      </c>
      <c r="H479" s="6">
        <v>72.8</v>
      </c>
    </row>
    <row r="480" spans="1:8" ht="15.6" x14ac:dyDescent="0.3">
      <c r="A480" s="4" t="s">
        <v>529</v>
      </c>
      <c r="B480" s="5" t="s">
        <v>538</v>
      </c>
      <c r="C480" s="5" t="s">
        <v>15</v>
      </c>
      <c r="D480" s="5">
        <v>37</v>
      </c>
      <c r="E480" s="5">
        <v>3</v>
      </c>
      <c r="F480" s="5">
        <v>67</v>
      </c>
      <c r="G480" s="6">
        <v>1</v>
      </c>
      <c r="H480" s="6">
        <v>49.35</v>
      </c>
    </row>
    <row r="481" spans="1:8" ht="15.6" x14ac:dyDescent="0.3">
      <c r="A481" s="4" t="s">
        <v>529</v>
      </c>
      <c r="B481" s="5" t="s">
        <v>539</v>
      </c>
      <c r="C481" s="5" t="s">
        <v>23</v>
      </c>
      <c r="D481" s="5">
        <v>28</v>
      </c>
      <c r="E481" s="5">
        <v>9</v>
      </c>
      <c r="F481" s="5">
        <v>35</v>
      </c>
      <c r="G481" s="6">
        <v>1</v>
      </c>
      <c r="H481" s="6">
        <v>50.75</v>
      </c>
    </row>
    <row r="482" spans="1:8" ht="15.6" x14ac:dyDescent="0.3">
      <c r="A482" s="4" t="s">
        <v>529</v>
      </c>
      <c r="B482" s="5" t="s">
        <v>540</v>
      </c>
      <c r="C482" s="5" t="s">
        <v>12</v>
      </c>
      <c r="D482" s="5">
        <v>1</v>
      </c>
      <c r="E482" s="5">
        <v>8</v>
      </c>
      <c r="F482" s="5">
        <v>87</v>
      </c>
      <c r="G482" s="6">
        <v>4</v>
      </c>
      <c r="H482" s="6">
        <v>33.35</v>
      </c>
    </row>
    <row r="483" spans="1:8" ht="15.6" x14ac:dyDescent="0.3">
      <c r="A483" s="4" t="s">
        <v>529</v>
      </c>
      <c r="B483" s="5" t="s">
        <v>541</v>
      </c>
      <c r="C483" s="5" t="s">
        <v>9</v>
      </c>
      <c r="D483" s="5">
        <v>9</v>
      </c>
      <c r="E483" s="5">
        <v>6</v>
      </c>
      <c r="F483" s="5">
        <v>101</v>
      </c>
      <c r="G483" s="6">
        <v>3</v>
      </c>
      <c r="H483" s="6">
        <v>35.049999999999997</v>
      </c>
    </row>
    <row r="484" spans="1:8" ht="15.6" x14ac:dyDescent="0.3">
      <c r="A484" s="4" t="s">
        <v>542</v>
      </c>
      <c r="B484" s="5" t="s">
        <v>543</v>
      </c>
      <c r="C484" s="5" t="s">
        <v>21</v>
      </c>
      <c r="D484" s="5">
        <v>48</v>
      </c>
      <c r="E484" s="5">
        <v>2</v>
      </c>
      <c r="F484" s="5">
        <v>17</v>
      </c>
      <c r="G484" s="6">
        <v>5</v>
      </c>
      <c r="H484" s="6">
        <v>67.849999999999994</v>
      </c>
    </row>
    <row r="485" spans="1:8" ht="15.6" x14ac:dyDescent="0.3">
      <c r="A485" s="4" t="s">
        <v>542</v>
      </c>
      <c r="B485" s="5" t="s">
        <v>544</v>
      </c>
      <c r="C485" s="5" t="s">
        <v>15</v>
      </c>
      <c r="D485" s="5">
        <v>28</v>
      </c>
      <c r="E485" s="5">
        <v>7</v>
      </c>
      <c r="F485" s="5">
        <v>49</v>
      </c>
      <c r="G485" s="6">
        <v>4</v>
      </c>
      <c r="H485" s="6">
        <v>56.45</v>
      </c>
    </row>
    <row r="486" spans="1:8" ht="15.6" x14ac:dyDescent="0.3">
      <c r="A486" s="4" t="s">
        <v>542</v>
      </c>
      <c r="B486" s="5" t="s">
        <v>545</v>
      </c>
      <c r="C486" s="5" t="s">
        <v>19</v>
      </c>
      <c r="D486" s="5">
        <v>7</v>
      </c>
      <c r="E486" s="5">
        <v>7</v>
      </c>
      <c r="F486" s="5">
        <v>88</v>
      </c>
      <c r="G486" s="6">
        <v>5</v>
      </c>
      <c r="H486" s="6">
        <v>40.4</v>
      </c>
    </row>
    <row r="487" spans="1:8" ht="15.6" x14ac:dyDescent="0.3">
      <c r="A487" s="4" t="s">
        <v>542</v>
      </c>
      <c r="B487" s="5" t="s">
        <v>546</v>
      </c>
      <c r="C487" s="5" t="s">
        <v>19</v>
      </c>
      <c r="D487" s="5">
        <v>22</v>
      </c>
      <c r="E487" s="5">
        <v>2</v>
      </c>
      <c r="F487" s="5">
        <v>45</v>
      </c>
      <c r="G487" s="6">
        <v>4</v>
      </c>
      <c r="H487" s="6">
        <v>40.25</v>
      </c>
    </row>
    <row r="488" spans="1:8" ht="15.6" x14ac:dyDescent="0.3">
      <c r="A488" s="4" t="s">
        <v>542</v>
      </c>
      <c r="B488" s="5" t="s">
        <v>547</v>
      </c>
      <c r="C488" s="5" t="s">
        <v>12</v>
      </c>
      <c r="D488" s="5">
        <v>11</v>
      </c>
      <c r="E488" s="5">
        <v>1</v>
      </c>
      <c r="F488" s="5">
        <v>30</v>
      </c>
      <c r="G488" s="6">
        <v>4</v>
      </c>
      <c r="H488" s="6">
        <v>26.5</v>
      </c>
    </row>
    <row r="489" spans="1:8" ht="15.6" x14ac:dyDescent="0.3">
      <c r="A489" s="4" t="s">
        <v>542</v>
      </c>
      <c r="B489" s="5" t="s">
        <v>548</v>
      </c>
      <c r="C489" s="5" t="s">
        <v>19</v>
      </c>
      <c r="D489" s="5">
        <v>12</v>
      </c>
      <c r="E489" s="5">
        <v>8</v>
      </c>
      <c r="F489" s="5">
        <v>13</v>
      </c>
      <c r="G489" s="6">
        <v>5</v>
      </c>
      <c r="H489" s="6">
        <v>43.65</v>
      </c>
    </row>
    <row r="490" spans="1:8" ht="15.6" x14ac:dyDescent="0.3">
      <c r="A490" s="4" t="s">
        <v>542</v>
      </c>
      <c r="B490" s="5" t="s">
        <v>549</v>
      </c>
      <c r="C490" s="5" t="s">
        <v>12</v>
      </c>
      <c r="D490" s="5">
        <v>17</v>
      </c>
      <c r="E490" s="5">
        <v>8</v>
      </c>
      <c r="F490" s="5">
        <v>47</v>
      </c>
      <c r="G490" s="6">
        <v>1</v>
      </c>
      <c r="H490" s="6">
        <v>38.35</v>
      </c>
    </row>
    <row r="491" spans="1:8" ht="15.6" x14ac:dyDescent="0.3">
      <c r="A491" s="4" t="s">
        <v>542</v>
      </c>
      <c r="B491" s="5" t="s">
        <v>550</v>
      </c>
      <c r="C491" s="5" t="s">
        <v>9</v>
      </c>
      <c r="D491" s="5">
        <v>6</v>
      </c>
      <c r="E491" s="5">
        <v>7</v>
      </c>
      <c r="F491" s="5">
        <v>10</v>
      </c>
      <c r="G491" s="6">
        <v>4</v>
      </c>
      <c r="H491" s="6">
        <v>32.5</v>
      </c>
    </row>
    <row r="492" spans="1:8" ht="15.6" x14ac:dyDescent="0.3">
      <c r="A492" s="4" t="s">
        <v>542</v>
      </c>
      <c r="B492" s="5" t="s">
        <v>551</v>
      </c>
      <c r="C492" s="5" t="s">
        <v>19</v>
      </c>
      <c r="D492" s="5">
        <v>27</v>
      </c>
      <c r="E492" s="5">
        <v>0</v>
      </c>
      <c r="F492" s="5">
        <v>24</v>
      </c>
      <c r="G492" s="6">
        <v>2</v>
      </c>
      <c r="H492" s="6">
        <v>34.200000000000003</v>
      </c>
    </row>
    <row r="493" spans="1:8" ht="15.6" x14ac:dyDescent="0.3">
      <c r="A493" s="4" t="s">
        <v>542</v>
      </c>
      <c r="B493" s="5" t="s">
        <v>552</v>
      </c>
      <c r="C493" s="5" t="s">
        <v>23</v>
      </c>
      <c r="D493" s="5">
        <v>23</v>
      </c>
      <c r="E493" s="5">
        <v>0</v>
      </c>
      <c r="F493" s="5">
        <v>48</v>
      </c>
      <c r="G493" s="6">
        <v>3</v>
      </c>
      <c r="H493" s="6">
        <v>34.4</v>
      </c>
    </row>
    <row r="494" spans="1:8" ht="15.6" x14ac:dyDescent="0.3">
      <c r="A494" s="4" t="s">
        <v>542</v>
      </c>
      <c r="B494" s="5" t="s">
        <v>553</v>
      </c>
      <c r="C494" s="5" t="s">
        <v>19</v>
      </c>
      <c r="D494" s="5">
        <v>31</v>
      </c>
      <c r="E494" s="5">
        <v>6</v>
      </c>
      <c r="F494" s="5">
        <v>30</v>
      </c>
      <c r="G494" s="6">
        <v>3</v>
      </c>
      <c r="H494" s="6">
        <v>53.5</v>
      </c>
    </row>
    <row r="495" spans="1:8" ht="15.6" x14ac:dyDescent="0.3">
      <c r="A495" s="4" t="s">
        <v>542</v>
      </c>
      <c r="B495" s="5" t="s">
        <v>554</v>
      </c>
      <c r="C495" s="5" t="s">
        <v>9</v>
      </c>
      <c r="D495" s="5">
        <v>24</v>
      </c>
      <c r="E495" s="5">
        <v>1</v>
      </c>
      <c r="F495" s="5">
        <v>97</v>
      </c>
      <c r="G495" s="6">
        <v>0</v>
      </c>
      <c r="H495" s="6">
        <v>30.85</v>
      </c>
    </row>
    <row r="496" spans="1:8" ht="15.6" x14ac:dyDescent="0.3">
      <c r="A496" s="4" t="s">
        <v>542</v>
      </c>
      <c r="B496" s="5" t="s">
        <v>555</v>
      </c>
      <c r="C496" s="5" t="s">
        <v>15</v>
      </c>
      <c r="D496" s="5">
        <v>38</v>
      </c>
      <c r="E496" s="5">
        <v>0</v>
      </c>
      <c r="F496" s="5">
        <v>59</v>
      </c>
      <c r="G496" s="6">
        <v>0</v>
      </c>
      <c r="H496" s="6">
        <v>40.950000000000003</v>
      </c>
    </row>
    <row r="497" spans="1:8" ht="15.6" x14ac:dyDescent="0.3">
      <c r="A497" s="4" t="s">
        <v>556</v>
      </c>
      <c r="B497" s="5" t="s">
        <v>557</v>
      </c>
      <c r="C497" s="5" t="s">
        <v>15</v>
      </c>
      <c r="D497" s="5">
        <v>32</v>
      </c>
      <c r="E497" s="5">
        <v>7</v>
      </c>
      <c r="F497" s="5">
        <v>36</v>
      </c>
      <c r="G497" s="6">
        <v>4</v>
      </c>
      <c r="H497" s="6">
        <v>59.8</v>
      </c>
    </row>
    <row r="498" spans="1:8" ht="15.6" x14ac:dyDescent="0.3">
      <c r="A498" s="4" t="s">
        <v>556</v>
      </c>
      <c r="B498" s="5" t="s">
        <v>558</v>
      </c>
      <c r="C498" s="5" t="s">
        <v>21</v>
      </c>
      <c r="D498" s="5">
        <v>32</v>
      </c>
      <c r="E498" s="5">
        <v>9</v>
      </c>
      <c r="F498" s="5">
        <v>102</v>
      </c>
      <c r="G498" s="6">
        <v>1</v>
      </c>
      <c r="H498" s="6">
        <v>58.1</v>
      </c>
    </row>
    <row r="499" spans="1:8" ht="15.6" x14ac:dyDescent="0.3">
      <c r="A499" s="4" t="s">
        <v>556</v>
      </c>
      <c r="B499" s="5" t="s">
        <v>559</v>
      </c>
      <c r="C499" s="5" t="s">
        <v>15</v>
      </c>
      <c r="D499" s="5">
        <v>17</v>
      </c>
      <c r="E499" s="5">
        <v>6</v>
      </c>
      <c r="F499" s="5">
        <v>92</v>
      </c>
      <c r="G499" s="6">
        <v>3</v>
      </c>
      <c r="H499" s="6">
        <v>42.6</v>
      </c>
    </row>
    <row r="500" spans="1:8" ht="15.6" x14ac:dyDescent="0.3">
      <c r="A500" s="4" t="s">
        <v>556</v>
      </c>
      <c r="B500" s="5" t="s">
        <v>560</v>
      </c>
      <c r="C500" s="5" t="s">
        <v>12</v>
      </c>
      <c r="D500" s="5">
        <v>22</v>
      </c>
      <c r="E500" s="5">
        <v>4</v>
      </c>
      <c r="F500" s="5">
        <v>44</v>
      </c>
      <c r="G500" s="6">
        <v>4</v>
      </c>
      <c r="H500" s="6">
        <v>44.2</v>
      </c>
    </row>
    <row r="501" spans="1:8" ht="15.6" x14ac:dyDescent="0.3">
      <c r="A501" s="4" t="s">
        <v>556</v>
      </c>
      <c r="B501" s="5" t="s">
        <v>561</v>
      </c>
      <c r="C501" s="5" t="s">
        <v>15</v>
      </c>
      <c r="D501" s="5">
        <v>36</v>
      </c>
      <c r="E501" s="5">
        <v>8</v>
      </c>
      <c r="F501" s="5">
        <v>48</v>
      </c>
      <c r="G501" s="6">
        <v>5</v>
      </c>
      <c r="H501" s="6">
        <v>69.400000000000006</v>
      </c>
    </row>
    <row r="502" spans="1:8" ht="15.6" x14ac:dyDescent="0.3">
      <c r="A502" s="7" t="s">
        <v>556</v>
      </c>
      <c r="B502" s="8" t="s">
        <v>562</v>
      </c>
      <c r="C502" s="8" t="s">
        <v>21</v>
      </c>
      <c r="D502" s="8">
        <v>16</v>
      </c>
      <c r="E502" s="8">
        <v>10</v>
      </c>
      <c r="F502" s="8">
        <v>34</v>
      </c>
      <c r="G502" s="9">
        <v>1</v>
      </c>
      <c r="H502" s="9">
        <v>40.700000000000003</v>
      </c>
    </row>
  </sheetData>
  <mergeCells count="1">
    <mergeCell ref="A1:H1"/>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9F76-03BA-41ED-BC44-1DC163044EAE}">
  <dimension ref="A1:B6"/>
  <sheetViews>
    <sheetView workbookViewId="0">
      <selection activeCell="F12" sqref="F12"/>
    </sheetView>
  </sheetViews>
  <sheetFormatPr defaultRowHeight="14.4" x14ac:dyDescent="0.3"/>
  <cols>
    <col min="1" max="1" width="16.33203125" customWidth="1"/>
    <col min="2" max="2" width="16.6640625" customWidth="1"/>
  </cols>
  <sheetData>
    <row r="1" spans="1:2" ht="22.8" x14ac:dyDescent="0.3">
      <c r="A1" s="12" t="s">
        <v>565</v>
      </c>
      <c r="B1" s="12"/>
    </row>
    <row r="2" spans="1:2" ht="15.6" x14ac:dyDescent="0.3">
      <c r="A2" s="13" t="s">
        <v>566</v>
      </c>
      <c r="B2" s="13" t="s">
        <v>567</v>
      </c>
    </row>
    <row r="3" spans="1:2" ht="15.6" x14ac:dyDescent="0.3">
      <c r="A3" s="14" t="s">
        <v>568</v>
      </c>
      <c r="B3" s="14">
        <v>1</v>
      </c>
    </row>
    <row r="4" spans="1:2" ht="20.399999999999999" customHeight="1" x14ac:dyDescent="0.3">
      <c r="A4" s="14" t="s">
        <v>569</v>
      </c>
      <c r="B4" s="14">
        <v>2</v>
      </c>
    </row>
    <row r="5" spans="1:2" ht="15.6" x14ac:dyDescent="0.3">
      <c r="A5" s="14" t="s">
        <v>570</v>
      </c>
      <c r="B5" s="14">
        <v>3</v>
      </c>
    </row>
    <row r="6" spans="1:2" ht="22.8" customHeight="1" x14ac:dyDescent="0.3">
      <c r="A6" s="14" t="s">
        <v>571</v>
      </c>
      <c r="B6" s="14" t="s">
        <v>572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0FF0-1F5F-4313-9312-F9E4730E39DE}">
  <dimension ref="A1:H52"/>
  <sheetViews>
    <sheetView workbookViewId="0">
      <selection activeCell="L15" sqref="L15"/>
    </sheetView>
  </sheetViews>
  <sheetFormatPr defaultRowHeight="14.4" x14ac:dyDescent="0.3"/>
  <cols>
    <col min="7" max="7" width="17" customWidth="1"/>
    <col min="8" max="8" width="15.33203125" customWidth="1"/>
  </cols>
  <sheetData>
    <row r="1" spans="1:8" ht="37.200000000000003" customHeight="1" x14ac:dyDescent="0.3">
      <c r="A1" s="16" t="s">
        <v>574</v>
      </c>
      <c r="B1" s="16"/>
      <c r="C1" s="16"/>
      <c r="D1" s="16"/>
      <c r="E1" s="16"/>
      <c r="F1" s="16"/>
      <c r="G1" s="16"/>
      <c r="H1" s="16"/>
    </row>
    <row r="2" spans="1:8" ht="15.6" x14ac:dyDescent="0.3">
      <c r="A2" s="17" t="s">
        <v>0</v>
      </c>
      <c r="B2" s="13" t="s">
        <v>9</v>
      </c>
      <c r="C2" s="13" t="s">
        <v>15</v>
      </c>
      <c r="D2" s="13" t="s">
        <v>12</v>
      </c>
      <c r="E2" s="13" t="s">
        <v>21</v>
      </c>
      <c r="F2" s="13" t="s">
        <v>19</v>
      </c>
      <c r="G2" s="13" t="s">
        <v>23</v>
      </c>
      <c r="H2" s="13" t="s">
        <v>573</v>
      </c>
    </row>
    <row r="3" spans="1:8" ht="15.6" x14ac:dyDescent="0.3">
      <c r="A3" s="5" t="s">
        <v>7</v>
      </c>
      <c r="B3" s="15">
        <f>SUMIFS(Engagement_Score, User_ID, $A3, Category, "Sports")</f>
        <v>230.5</v>
      </c>
      <c r="C3" s="15">
        <f>SUMIFS(Engagement_Score, User_ID, $A3, Category, "Fashion")</f>
        <v>89.55</v>
      </c>
      <c r="D3" s="15">
        <f>SUMIFS(Engagement_Score, User_ID, $A3, Category, "Tech")</f>
        <v>60.599999999999994</v>
      </c>
      <c r="E3" s="15">
        <f>SUMIFS(Engagement_Score, User_ID, $A3, Category, "Travel")</f>
        <v>107.35</v>
      </c>
      <c r="F3" s="15">
        <f>SUMIFS(Engagement_Score, User_ID, $A3, Category, "Food")</f>
        <v>52.55</v>
      </c>
      <c r="G3" s="15">
        <f>SUMIFS(Engagement_Score, User_ID, $A3, Category, "Entertainment")</f>
        <v>65.95</v>
      </c>
      <c r="H3" s="15" t="str">
        <f>INDEX($B$2:$G$2, MATCH(MAX(B3:G3), B3:G3, 0))</f>
        <v>Sports</v>
      </c>
    </row>
    <row r="4" spans="1:8" ht="15.6" x14ac:dyDescent="0.3">
      <c r="A4" s="5" t="s">
        <v>26</v>
      </c>
      <c r="B4" s="15">
        <f>SUMIFS(Engagement_Score, User_ID, $A4, Category, "Sports")</f>
        <v>170</v>
      </c>
      <c r="C4" s="15">
        <f>SUMIFS(Engagement_Score, User_ID, $A4, Category, "Fashion")</f>
        <v>143.5</v>
      </c>
      <c r="D4" s="15">
        <f>SUMIFS(Engagement_Score, User_ID, $A4, Category, "Tech")</f>
        <v>96</v>
      </c>
      <c r="E4" s="15">
        <f>SUMIFS(Engagement_Score, User_ID, $A4, Category, "Travel")</f>
        <v>117.25</v>
      </c>
      <c r="F4" s="15">
        <f>SUMIFS(Engagement_Score, User_ID, $A4, Category, "Food")</f>
        <v>0</v>
      </c>
      <c r="G4" s="15">
        <f>SUMIFS(Engagement_Score, User_ID, $A4, Category, "Entertainment")</f>
        <v>100.1</v>
      </c>
      <c r="H4" s="15" t="str">
        <f t="shared" ref="H4:H52" si="0">INDEX($B$2:$G$2, MATCH(MAX(B4:G4), B4:G4, 0))</f>
        <v>Sports</v>
      </c>
    </row>
    <row r="5" spans="1:8" ht="15.6" x14ac:dyDescent="0.3">
      <c r="A5" s="5" t="s">
        <v>41</v>
      </c>
      <c r="B5" s="15">
        <f>SUMIFS(Engagement_Score, User_ID, $A5, Category, "Sports")</f>
        <v>82.15</v>
      </c>
      <c r="C5" s="15">
        <f>SUMIFS(Engagement_Score, User_ID, $A5, Category, "Fashion")</f>
        <v>0</v>
      </c>
      <c r="D5" s="15">
        <f>SUMIFS(Engagement_Score, User_ID, $A5, Category, "Tech")</f>
        <v>167.8</v>
      </c>
      <c r="E5" s="15">
        <f>SUMIFS(Engagement_Score, User_ID, $A5, Category, "Travel")</f>
        <v>77.650000000000006</v>
      </c>
      <c r="F5" s="15">
        <f>SUMIFS(Engagement_Score, User_ID, $A5, Category, "Food")</f>
        <v>171.00000000000003</v>
      </c>
      <c r="G5" s="15">
        <f>SUMIFS(Engagement_Score, User_ID, $A5, Category, "Entertainment")</f>
        <v>66.7</v>
      </c>
      <c r="H5" s="15" t="str">
        <f t="shared" si="0"/>
        <v>Food</v>
      </c>
    </row>
    <row r="6" spans="1:8" ht="15.6" x14ac:dyDescent="0.3">
      <c r="A6" s="5" t="s">
        <v>54</v>
      </c>
      <c r="B6" s="15">
        <f>SUMIFS(Engagement_Score, User_ID, $A6, Category, "Sports")</f>
        <v>34.299999999999997</v>
      </c>
      <c r="C6" s="15">
        <f>SUMIFS(Engagement_Score, User_ID, $A6, Category, "Fashion")</f>
        <v>41.45</v>
      </c>
      <c r="D6" s="15">
        <f>SUMIFS(Engagement_Score, User_ID, $A6, Category, "Tech")</f>
        <v>0</v>
      </c>
      <c r="E6" s="15">
        <f>SUMIFS(Engagement_Score, User_ID, $A6, Category, "Travel")</f>
        <v>0</v>
      </c>
      <c r="F6" s="15">
        <f>SUMIFS(Engagement_Score, User_ID, $A6, Category, "Food")</f>
        <v>136.69999999999999</v>
      </c>
      <c r="G6" s="15">
        <f>SUMIFS(Engagement_Score, User_ID, $A6, Category, "Entertainment")</f>
        <v>53.55</v>
      </c>
      <c r="H6" s="15" t="str">
        <f t="shared" si="0"/>
        <v>Food</v>
      </c>
    </row>
    <row r="7" spans="1:8" ht="15.6" x14ac:dyDescent="0.3">
      <c r="A7" s="5" t="s">
        <v>63</v>
      </c>
      <c r="B7" s="15">
        <f>SUMIFS(Engagement_Score, User_ID, $A7, Category, "Sports")</f>
        <v>23.15</v>
      </c>
      <c r="C7" s="15">
        <f>SUMIFS(Engagement_Score, User_ID, $A7, Category, "Fashion")</f>
        <v>186.60000000000002</v>
      </c>
      <c r="D7" s="15">
        <f>SUMIFS(Engagement_Score, User_ID, $A7, Category, "Tech")</f>
        <v>56.2</v>
      </c>
      <c r="E7" s="15">
        <f>SUMIFS(Engagement_Score, User_ID, $A7, Category, "Travel")</f>
        <v>49.4</v>
      </c>
      <c r="F7" s="15">
        <f>SUMIFS(Engagement_Score, User_ID, $A7, Category, "Food")</f>
        <v>0</v>
      </c>
      <c r="G7" s="15">
        <f>SUMIFS(Engagement_Score, User_ID, $A7, Category, "Entertainment")</f>
        <v>96.25</v>
      </c>
      <c r="H7" s="15" t="str">
        <f t="shared" si="0"/>
        <v>Fashion</v>
      </c>
    </row>
    <row r="8" spans="1:8" ht="15.6" x14ac:dyDescent="0.3">
      <c r="A8" s="5" t="s">
        <v>73</v>
      </c>
      <c r="B8" s="15">
        <f>SUMIFS(Engagement_Score, User_ID, $A8, Category, "Sports")</f>
        <v>32.299999999999997</v>
      </c>
      <c r="C8" s="15">
        <f>SUMIFS(Engagement_Score, User_ID, $A8, Category, "Fashion")</f>
        <v>25.5</v>
      </c>
      <c r="D8" s="15">
        <f>SUMIFS(Engagement_Score, User_ID, $A8, Category, "Tech")</f>
        <v>125.5</v>
      </c>
      <c r="E8" s="15">
        <f>SUMIFS(Engagement_Score, User_ID, $A8, Category, "Travel")</f>
        <v>89.25</v>
      </c>
      <c r="F8" s="15">
        <f>SUMIFS(Engagement_Score, User_ID, $A8, Category, "Food")</f>
        <v>83.45</v>
      </c>
      <c r="G8" s="15">
        <f>SUMIFS(Engagement_Score, User_ID, $A8, Category, "Entertainment")</f>
        <v>36.35</v>
      </c>
      <c r="H8" s="15" t="str">
        <f t="shared" si="0"/>
        <v>Tech</v>
      </c>
    </row>
    <row r="9" spans="1:8" ht="15.6" x14ac:dyDescent="0.3">
      <c r="A9" s="5" t="s">
        <v>83</v>
      </c>
      <c r="B9" s="15">
        <f>SUMIFS(Engagement_Score, User_ID, $A9, Category, "Sports")</f>
        <v>134.35</v>
      </c>
      <c r="C9" s="15">
        <f>SUMIFS(Engagement_Score, User_ID, $A9, Category, "Fashion")</f>
        <v>0</v>
      </c>
      <c r="D9" s="15">
        <f>SUMIFS(Engagement_Score, User_ID, $A9, Category, "Tech")</f>
        <v>57.35</v>
      </c>
      <c r="E9" s="15">
        <f>SUMIFS(Engagement_Score, User_ID, $A9, Category, "Travel")</f>
        <v>29.2</v>
      </c>
      <c r="F9" s="15">
        <f>SUMIFS(Engagement_Score, User_ID, $A9, Category, "Food")</f>
        <v>130.44999999999999</v>
      </c>
      <c r="G9" s="15">
        <f>SUMIFS(Engagement_Score, User_ID, $A9, Category, "Entertainment")</f>
        <v>94.1</v>
      </c>
      <c r="H9" s="15" t="str">
        <f t="shared" si="0"/>
        <v>Sports</v>
      </c>
    </row>
    <row r="10" spans="1:8" ht="15.6" x14ac:dyDescent="0.3">
      <c r="A10" s="5" t="s">
        <v>93</v>
      </c>
      <c r="B10" s="15">
        <f>SUMIFS(Engagement_Score, User_ID, $A10, Category, "Sports")</f>
        <v>74.7</v>
      </c>
      <c r="C10" s="15">
        <f>SUMIFS(Engagement_Score, User_ID, $A10, Category, "Fashion")</f>
        <v>87.800000000000011</v>
      </c>
      <c r="D10" s="15">
        <f>SUMIFS(Engagement_Score, User_ID, $A10, Category, "Tech")</f>
        <v>23.5</v>
      </c>
      <c r="E10" s="15">
        <f>SUMIFS(Engagement_Score, User_ID, $A10, Category, "Travel")</f>
        <v>152.44999999999999</v>
      </c>
      <c r="F10" s="15">
        <f>SUMIFS(Engagement_Score, User_ID, $A10, Category, "Food")</f>
        <v>68.650000000000006</v>
      </c>
      <c r="G10" s="15">
        <f>SUMIFS(Engagement_Score, User_ID, $A10, Category, "Entertainment")</f>
        <v>89.5</v>
      </c>
      <c r="H10" s="15" t="str">
        <f t="shared" si="0"/>
        <v>Travel</v>
      </c>
    </row>
    <row r="11" spans="1:8" ht="15.6" x14ac:dyDescent="0.3">
      <c r="A11" s="5" t="s">
        <v>106</v>
      </c>
      <c r="B11" s="15">
        <f>SUMIFS(Engagement_Score, User_ID, $A11, Category, "Sports")</f>
        <v>71.5</v>
      </c>
      <c r="C11" s="15">
        <f>SUMIFS(Engagement_Score, User_ID, $A11, Category, "Fashion")</f>
        <v>0</v>
      </c>
      <c r="D11" s="15">
        <f>SUMIFS(Engagement_Score, User_ID, $A11, Category, "Tech")</f>
        <v>65.849999999999994</v>
      </c>
      <c r="E11" s="15">
        <f>SUMIFS(Engagement_Score, User_ID, $A11, Category, "Travel")</f>
        <v>108.4</v>
      </c>
      <c r="F11" s="15">
        <f>SUMIFS(Engagement_Score, User_ID, $A11, Category, "Food")</f>
        <v>56.099999999999994</v>
      </c>
      <c r="G11" s="15">
        <f>SUMIFS(Engagement_Score, User_ID, $A11, Category, "Entertainment")</f>
        <v>95.9</v>
      </c>
      <c r="H11" s="15" t="str">
        <f t="shared" si="0"/>
        <v>Travel</v>
      </c>
    </row>
    <row r="12" spans="1:8" ht="15.6" x14ac:dyDescent="0.3">
      <c r="A12" s="5" t="s">
        <v>117</v>
      </c>
      <c r="B12" s="15">
        <f>SUMIFS(Engagement_Score, User_ID, $A12, Category, "Sports")</f>
        <v>0</v>
      </c>
      <c r="C12" s="15">
        <f>SUMIFS(Engagement_Score, User_ID, $A12, Category, "Fashion")</f>
        <v>0</v>
      </c>
      <c r="D12" s="15">
        <f>SUMIFS(Engagement_Score, User_ID, $A12, Category, "Tech")</f>
        <v>0</v>
      </c>
      <c r="E12" s="15">
        <f>SUMIFS(Engagement_Score, User_ID, $A12, Category, "Travel")</f>
        <v>35.75</v>
      </c>
      <c r="F12" s="15">
        <f>SUMIFS(Engagement_Score, User_ID, $A12, Category, "Food")</f>
        <v>0</v>
      </c>
      <c r="G12" s="15">
        <f>SUMIFS(Engagement_Score, User_ID, $A12, Category, "Entertainment")</f>
        <v>0</v>
      </c>
      <c r="H12" s="15" t="str">
        <f t="shared" si="0"/>
        <v>Travel</v>
      </c>
    </row>
    <row r="13" spans="1:8" ht="15.6" x14ac:dyDescent="0.3">
      <c r="A13" s="5" t="s">
        <v>119</v>
      </c>
      <c r="B13" s="15">
        <f>SUMIFS(Engagement_Score, User_ID, $A13, Category, "Sports")</f>
        <v>39.299999999999997</v>
      </c>
      <c r="C13" s="15">
        <f>SUMIFS(Engagement_Score, User_ID, $A13, Category, "Fashion")</f>
        <v>44.05</v>
      </c>
      <c r="D13" s="15">
        <f>SUMIFS(Engagement_Score, User_ID, $A13, Category, "Tech")</f>
        <v>0</v>
      </c>
      <c r="E13" s="15">
        <f>SUMIFS(Engagement_Score, User_ID, $A13, Category, "Travel")</f>
        <v>58.2</v>
      </c>
      <c r="F13" s="15">
        <f>SUMIFS(Engagement_Score, User_ID, $A13, Category, "Food")</f>
        <v>202.75</v>
      </c>
      <c r="G13" s="15">
        <f>SUMIFS(Engagement_Score, User_ID, $A13, Category, "Entertainment")</f>
        <v>47.6</v>
      </c>
      <c r="H13" s="15" t="str">
        <f t="shared" si="0"/>
        <v>Food</v>
      </c>
    </row>
    <row r="14" spans="1:8" ht="15.6" x14ac:dyDescent="0.3">
      <c r="A14" s="5" t="s">
        <v>128</v>
      </c>
      <c r="B14" s="15">
        <f>SUMIFS(Engagement_Score, User_ID, $A14, Category, "Sports")</f>
        <v>114</v>
      </c>
      <c r="C14" s="15">
        <f>SUMIFS(Engagement_Score, User_ID, $A14, Category, "Fashion")</f>
        <v>0</v>
      </c>
      <c r="D14" s="15">
        <f>SUMIFS(Engagement_Score, User_ID, $A14, Category, "Tech")</f>
        <v>0</v>
      </c>
      <c r="E14" s="15">
        <f>SUMIFS(Engagement_Score, User_ID, $A14, Category, "Travel")</f>
        <v>136.1</v>
      </c>
      <c r="F14" s="15">
        <f>SUMIFS(Engagement_Score, User_ID, $A14, Category, "Food")</f>
        <v>162.5</v>
      </c>
      <c r="G14" s="15">
        <f>SUMIFS(Engagement_Score, User_ID, $A14, Category, "Entertainment")</f>
        <v>102.95</v>
      </c>
      <c r="H14" s="15" t="str">
        <f t="shared" si="0"/>
        <v>Food</v>
      </c>
    </row>
    <row r="15" spans="1:8" ht="15.6" x14ac:dyDescent="0.3">
      <c r="A15" s="5" t="s">
        <v>138</v>
      </c>
      <c r="B15" s="15">
        <f>SUMIFS(Engagement_Score, User_ID, $A15, Category, "Sports")</f>
        <v>0</v>
      </c>
      <c r="C15" s="15">
        <f>SUMIFS(Engagement_Score, User_ID, $A15, Category, "Fashion")</f>
        <v>65.099999999999994</v>
      </c>
      <c r="D15" s="15">
        <f>SUMIFS(Engagement_Score, User_ID, $A15, Category, "Tech")</f>
        <v>60.15</v>
      </c>
      <c r="E15" s="15">
        <f>SUMIFS(Engagement_Score, User_ID, $A15, Category, "Travel")</f>
        <v>76.2</v>
      </c>
      <c r="F15" s="15">
        <f>SUMIFS(Engagement_Score, User_ID, $A15, Category, "Food")</f>
        <v>45.95</v>
      </c>
      <c r="G15" s="15">
        <f>SUMIFS(Engagement_Score, User_ID, $A15, Category, "Entertainment")</f>
        <v>0</v>
      </c>
      <c r="H15" s="15" t="str">
        <f t="shared" si="0"/>
        <v>Travel</v>
      </c>
    </row>
    <row r="16" spans="1:8" ht="15.6" x14ac:dyDescent="0.3">
      <c r="A16" s="5" t="s">
        <v>144</v>
      </c>
      <c r="B16" s="15">
        <f>SUMIFS(Engagement_Score, User_ID, $A16, Category, "Sports")</f>
        <v>107.5</v>
      </c>
      <c r="C16" s="15">
        <f>SUMIFS(Engagement_Score, User_ID, $A16, Category, "Fashion")</f>
        <v>118.14999999999999</v>
      </c>
      <c r="D16" s="15">
        <f>SUMIFS(Engagement_Score, User_ID, $A16, Category, "Tech")</f>
        <v>0</v>
      </c>
      <c r="E16" s="15">
        <f>SUMIFS(Engagement_Score, User_ID, $A16, Category, "Travel")</f>
        <v>110</v>
      </c>
      <c r="F16" s="15">
        <f>SUMIFS(Engagement_Score, User_ID, $A16, Category, "Food")</f>
        <v>42.75</v>
      </c>
      <c r="G16" s="15">
        <f>SUMIFS(Engagement_Score, User_ID, $A16, Category, "Entertainment")</f>
        <v>43.9</v>
      </c>
      <c r="H16" s="15" t="str">
        <f t="shared" si="0"/>
        <v>Fashion</v>
      </c>
    </row>
    <row r="17" spans="1:8" ht="15.6" x14ac:dyDescent="0.3">
      <c r="A17" s="5" t="s">
        <v>154</v>
      </c>
      <c r="B17" s="15">
        <f>SUMIFS(Engagement_Score, User_ID, $A17, Category, "Sports")</f>
        <v>125.65</v>
      </c>
      <c r="C17" s="15">
        <f>SUMIFS(Engagement_Score, User_ID, $A17, Category, "Fashion")</f>
        <v>0</v>
      </c>
      <c r="D17" s="15">
        <f>SUMIFS(Engagement_Score, User_ID, $A17, Category, "Tech")</f>
        <v>29.9</v>
      </c>
      <c r="E17" s="15">
        <f>SUMIFS(Engagement_Score, User_ID, $A17, Category, "Travel")</f>
        <v>0</v>
      </c>
      <c r="F17" s="15">
        <f>SUMIFS(Engagement_Score, User_ID, $A17, Category, "Food")</f>
        <v>70.349999999999994</v>
      </c>
      <c r="G17" s="15">
        <f>SUMIFS(Engagement_Score, User_ID, $A17, Category, "Entertainment")</f>
        <v>162.50000000000003</v>
      </c>
      <c r="H17" s="15" t="str">
        <f t="shared" si="0"/>
        <v>Entertainment</v>
      </c>
    </row>
    <row r="18" spans="1:8" ht="15.6" x14ac:dyDescent="0.3">
      <c r="A18" s="5" t="s">
        <v>165</v>
      </c>
      <c r="B18" s="15">
        <f>SUMIFS(Engagement_Score, User_ID, $A18, Category, "Sports")</f>
        <v>84.2</v>
      </c>
      <c r="C18" s="15">
        <f>SUMIFS(Engagement_Score, User_ID, $A18, Category, "Fashion")</f>
        <v>96.25</v>
      </c>
      <c r="D18" s="15">
        <f>SUMIFS(Engagement_Score, User_ID, $A18, Category, "Tech")</f>
        <v>39.15</v>
      </c>
      <c r="E18" s="15">
        <f>SUMIFS(Engagement_Score, User_ID, $A18, Category, "Travel")</f>
        <v>0</v>
      </c>
      <c r="F18" s="15">
        <f>SUMIFS(Engagement_Score, User_ID, $A18, Category, "Food")</f>
        <v>100.75</v>
      </c>
      <c r="G18" s="15">
        <f>SUMIFS(Engagement_Score, User_ID, $A18, Category, "Entertainment")</f>
        <v>162.5</v>
      </c>
      <c r="H18" s="15" t="str">
        <f t="shared" si="0"/>
        <v>Entertainment</v>
      </c>
    </row>
    <row r="19" spans="1:8" ht="15.6" x14ac:dyDescent="0.3">
      <c r="A19" s="5" t="s">
        <v>178</v>
      </c>
      <c r="B19" s="15">
        <f>SUMIFS(Engagement_Score, User_ID, $A19, Category, "Sports")</f>
        <v>0</v>
      </c>
      <c r="C19" s="15">
        <f>SUMIFS(Engagement_Score, User_ID, $A19, Category, "Fashion")</f>
        <v>0</v>
      </c>
      <c r="D19" s="15">
        <f>SUMIFS(Engagement_Score, User_ID, $A19, Category, "Tech")</f>
        <v>310.64999999999998</v>
      </c>
      <c r="E19" s="15">
        <f>SUMIFS(Engagement_Score, User_ID, $A19, Category, "Travel")</f>
        <v>94.399999999999991</v>
      </c>
      <c r="F19" s="15">
        <f>SUMIFS(Engagement_Score, User_ID, $A19, Category, "Food")</f>
        <v>0</v>
      </c>
      <c r="G19" s="15">
        <f>SUMIFS(Engagement_Score, User_ID, $A19, Category, "Entertainment")</f>
        <v>41.3</v>
      </c>
      <c r="H19" s="15" t="str">
        <f t="shared" si="0"/>
        <v>Tech</v>
      </c>
    </row>
    <row r="20" spans="1:8" ht="15.6" x14ac:dyDescent="0.3">
      <c r="A20" s="5" t="s">
        <v>187</v>
      </c>
      <c r="B20" s="15">
        <f>SUMIFS(Engagement_Score, User_ID, $A20, Category, "Sports")</f>
        <v>72.650000000000006</v>
      </c>
      <c r="C20" s="15">
        <f>SUMIFS(Engagement_Score, User_ID, $A20, Category, "Fashion")</f>
        <v>32.15</v>
      </c>
      <c r="D20" s="15">
        <f>SUMIFS(Engagement_Score, User_ID, $A20, Category, "Tech")</f>
        <v>0</v>
      </c>
      <c r="E20" s="15">
        <f>SUMIFS(Engagement_Score, User_ID, $A20, Category, "Travel")</f>
        <v>0</v>
      </c>
      <c r="F20" s="15">
        <f>SUMIFS(Engagement_Score, User_ID, $A20, Category, "Food")</f>
        <v>46.65</v>
      </c>
      <c r="G20" s="15">
        <f>SUMIFS(Engagement_Score, User_ID, $A20, Category, "Entertainment")</f>
        <v>152.30000000000001</v>
      </c>
      <c r="H20" s="15" t="str">
        <f t="shared" si="0"/>
        <v>Entertainment</v>
      </c>
    </row>
    <row r="21" spans="1:8" ht="15.6" x14ac:dyDescent="0.3">
      <c r="A21" s="5" t="s">
        <v>195</v>
      </c>
      <c r="B21" s="15">
        <f>SUMIFS(Engagement_Score, User_ID, $A21, Category, "Sports")</f>
        <v>73.099999999999994</v>
      </c>
      <c r="C21" s="15">
        <f>SUMIFS(Engagement_Score, User_ID, $A21, Category, "Fashion")</f>
        <v>155.95000000000002</v>
      </c>
      <c r="D21" s="15">
        <f>SUMIFS(Engagement_Score, User_ID, $A21, Category, "Tech")</f>
        <v>37.049999999999997</v>
      </c>
      <c r="E21" s="15">
        <f>SUMIFS(Engagement_Score, User_ID, $A21, Category, "Travel")</f>
        <v>38</v>
      </c>
      <c r="F21" s="15">
        <f>SUMIFS(Engagement_Score, User_ID, $A21, Category, "Food")</f>
        <v>70.45</v>
      </c>
      <c r="G21" s="15">
        <f>SUMIFS(Engagement_Score, User_ID, $A21, Category, "Entertainment")</f>
        <v>0</v>
      </c>
      <c r="H21" s="15" t="str">
        <f t="shared" si="0"/>
        <v>Fashion</v>
      </c>
    </row>
    <row r="22" spans="1:8" ht="15.6" x14ac:dyDescent="0.3">
      <c r="A22" s="5" t="s">
        <v>204</v>
      </c>
      <c r="B22" s="15">
        <f>SUMIFS(Engagement_Score, User_ID, $A22, Category, "Sports")</f>
        <v>48.9</v>
      </c>
      <c r="C22" s="15">
        <f>SUMIFS(Engagement_Score, User_ID, $A22, Category, "Fashion")</f>
        <v>49.7</v>
      </c>
      <c r="D22" s="15">
        <f>SUMIFS(Engagement_Score, User_ID, $A22, Category, "Tech")</f>
        <v>59</v>
      </c>
      <c r="E22" s="15">
        <f>SUMIFS(Engagement_Score, User_ID, $A22, Category, "Travel")</f>
        <v>0</v>
      </c>
      <c r="F22" s="15">
        <f>SUMIFS(Engagement_Score, User_ID, $A22, Category, "Food")</f>
        <v>160.6</v>
      </c>
      <c r="G22" s="15">
        <f>SUMIFS(Engagement_Score, User_ID, $A22, Category, "Entertainment")</f>
        <v>101.55000000000001</v>
      </c>
      <c r="H22" s="15" t="str">
        <f t="shared" si="0"/>
        <v>Food</v>
      </c>
    </row>
    <row r="23" spans="1:8" ht="15.6" x14ac:dyDescent="0.3">
      <c r="A23" s="5" t="s">
        <v>213</v>
      </c>
      <c r="B23" s="15">
        <f>SUMIFS(Engagement_Score, User_ID, $A23, Category, "Sports")</f>
        <v>0</v>
      </c>
      <c r="C23" s="15">
        <f>SUMIFS(Engagement_Score, User_ID, $A23, Category, "Fashion")</f>
        <v>125.35</v>
      </c>
      <c r="D23" s="15">
        <f>SUMIFS(Engagement_Score, User_ID, $A23, Category, "Tech")</f>
        <v>0</v>
      </c>
      <c r="E23" s="15">
        <f>SUMIFS(Engagement_Score, User_ID, $A23, Category, "Travel")</f>
        <v>120</v>
      </c>
      <c r="F23" s="15">
        <f>SUMIFS(Engagement_Score, User_ID, $A23, Category, "Food")</f>
        <v>64.150000000000006</v>
      </c>
      <c r="G23" s="15">
        <f>SUMIFS(Engagement_Score, User_ID, $A23, Category, "Entertainment")</f>
        <v>113.25</v>
      </c>
      <c r="H23" s="15" t="str">
        <f t="shared" si="0"/>
        <v>Fashion</v>
      </c>
    </row>
    <row r="24" spans="1:8" ht="15.6" x14ac:dyDescent="0.3">
      <c r="A24" s="5" t="s">
        <v>221</v>
      </c>
      <c r="B24" s="15">
        <f>SUMIFS(Engagement_Score, User_ID, $A24, Category, "Sports")</f>
        <v>18.600000000000001</v>
      </c>
      <c r="C24" s="15">
        <f>SUMIFS(Engagement_Score, User_ID, $A24, Category, "Fashion")</f>
        <v>108.75</v>
      </c>
      <c r="D24" s="15">
        <f>SUMIFS(Engagement_Score, User_ID, $A24, Category, "Tech")</f>
        <v>146.94999999999999</v>
      </c>
      <c r="E24" s="15">
        <f>SUMIFS(Engagement_Score, User_ID, $A24, Category, "Travel")</f>
        <v>19.55</v>
      </c>
      <c r="F24" s="15">
        <f>SUMIFS(Engagement_Score, User_ID, $A24, Category, "Food")</f>
        <v>142.35</v>
      </c>
      <c r="G24" s="15">
        <f>SUMIFS(Engagement_Score, User_ID, $A24, Category, "Entertainment")</f>
        <v>95.35</v>
      </c>
      <c r="H24" s="15" t="str">
        <f t="shared" si="0"/>
        <v>Tech</v>
      </c>
    </row>
    <row r="25" spans="1:8" ht="15.6" x14ac:dyDescent="0.3">
      <c r="A25" s="5" t="s">
        <v>235</v>
      </c>
      <c r="B25" s="15">
        <f>SUMIFS(Engagement_Score, User_ID, $A25, Category, "Sports")</f>
        <v>24.4</v>
      </c>
      <c r="C25" s="15">
        <f>SUMIFS(Engagement_Score, User_ID, $A25, Category, "Fashion")</f>
        <v>200.10000000000002</v>
      </c>
      <c r="D25" s="15">
        <f>SUMIFS(Engagement_Score, User_ID, $A25, Category, "Tech")</f>
        <v>49.75</v>
      </c>
      <c r="E25" s="15">
        <f>SUMIFS(Engagement_Score, User_ID, $A25, Category, "Travel")</f>
        <v>36.049999999999997</v>
      </c>
      <c r="F25" s="15">
        <f>SUMIFS(Engagement_Score, User_ID, $A25, Category, "Food")</f>
        <v>77.650000000000006</v>
      </c>
      <c r="G25" s="15">
        <f>SUMIFS(Engagement_Score, User_ID, $A25, Category, "Entertainment")</f>
        <v>147.80000000000001</v>
      </c>
      <c r="H25" s="15" t="str">
        <f t="shared" si="0"/>
        <v>Fashion</v>
      </c>
    </row>
    <row r="26" spans="1:8" ht="15.6" x14ac:dyDescent="0.3">
      <c r="A26" s="5" t="s">
        <v>247</v>
      </c>
      <c r="B26" s="15">
        <f>SUMIFS(Engagement_Score, User_ID, $A26, Category, "Sports")</f>
        <v>177.20000000000002</v>
      </c>
      <c r="C26" s="15">
        <f>SUMIFS(Engagement_Score, User_ID, $A26, Category, "Fashion")</f>
        <v>200.2</v>
      </c>
      <c r="D26" s="15">
        <f>SUMIFS(Engagement_Score, User_ID, $A26, Category, "Tech")</f>
        <v>153</v>
      </c>
      <c r="E26" s="15">
        <f>SUMIFS(Engagement_Score, User_ID, $A26, Category, "Travel")</f>
        <v>0</v>
      </c>
      <c r="F26" s="15">
        <f>SUMIFS(Engagement_Score, User_ID, $A26, Category, "Food")</f>
        <v>155.25</v>
      </c>
      <c r="G26" s="15">
        <f>SUMIFS(Engagement_Score, User_ID, $A26, Category, "Entertainment")</f>
        <v>108.85</v>
      </c>
      <c r="H26" s="15" t="str">
        <f t="shared" si="0"/>
        <v>Fashion</v>
      </c>
    </row>
    <row r="27" spans="1:8" ht="15.6" x14ac:dyDescent="0.3">
      <c r="A27" s="5" t="s">
        <v>263</v>
      </c>
      <c r="B27" s="15">
        <f>SUMIFS(Engagement_Score, User_ID, $A27, Category, "Sports")</f>
        <v>77.75</v>
      </c>
      <c r="C27" s="15">
        <f>SUMIFS(Engagement_Score, User_ID, $A27, Category, "Fashion")</f>
        <v>90.1</v>
      </c>
      <c r="D27" s="15">
        <f>SUMIFS(Engagement_Score, User_ID, $A27, Category, "Tech")</f>
        <v>29.4</v>
      </c>
      <c r="E27" s="15">
        <f>SUMIFS(Engagement_Score, User_ID, $A27, Category, "Travel")</f>
        <v>32.049999999999997</v>
      </c>
      <c r="F27" s="15">
        <f>SUMIFS(Engagement_Score, User_ID, $A27, Category, "Food")</f>
        <v>99.3</v>
      </c>
      <c r="G27" s="15">
        <f>SUMIFS(Engagement_Score, User_ID, $A27, Category, "Entertainment")</f>
        <v>132.5</v>
      </c>
      <c r="H27" s="15" t="str">
        <f t="shared" si="0"/>
        <v>Entertainment</v>
      </c>
    </row>
    <row r="28" spans="1:8" ht="15.6" x14ac:dyDescent="0.3">
      <c r="A28" s="5" t="s">
        <v>276</v>
      </c>
      <c r="B28" s="15">
        <f>SUMIFS(Engagement_Score, User_ID, $A28, Category, "Sports")</f>
        <v>157.35</v>
      </c>
      <c r="C28" s="15">
        <f>SUMIFS(Engagement_Score, User_ID, $A28, Category, "Fashion")</f>
        <v>238</v>
      </c>
      <c r="D28" s="15">
        <f>SUMIFS(Engagement_Score, User_ID, $A28, Category, "Tech")</f>
        <v>194.75</v>
      </c>
      <c r="E28" s="15">
        <f>SUMIFS(Engagement_Score, User_ID, $A28, Category, "Travel")</f>
        <v>61.6</v>
      </c>
      <c r="F28" s="15">
        <f>SUMIFS(Engagement_Score, User_ID, $A28, Category, "Food")</f>
        <v>63.75</v>
      </c>
      <c r="G28" s="15">
        <f>SUMIFS(Engagement_Score, User_ID, $A28, Category, "Entertainment")</f>
        <v>0</v>
      </c>
      <c r="H28" s="15" t="str">
        <f t="shared" si="0"/>
        <v>Fashion</v>
      </c>
    </row>
    <row r="29" spans="1:8" ht="15.6" x14ac:dyDescent="0.3">
      <c r="A29" s="5" t="s">
        <v>292</v>
      </c>
      <c r="B29" s="15">
        <f>SUMIFS(Engagement_Score, User_ID, $A29, Category, "Sports")</f>
        <v>55.5</v>
      </c>
      <c r="C29" s="15">
        <f>SUMIFS(Engagement_Score, User_ID, $A29, Category, "Fashion")</f>
        <v>19.399999999999999</v>
      </c>
      <c r="D29" s="15">
        <f>SUMIFS(Engagement_Score, User_ID, $A29, Category, "Tech")</f>
        <v>0</v>
      </c>
      <c r="E29" s="15">
        <f>SUMIFS(Engagement_Score, User_ID, $A29, Category, "Travel")</f>
        <v>131.94999999999999</v>
      </c>
      <c r="F29" s="15">
        <f>SUMIFS(Engagement_Score, User_ID, $A29, Category, "Food")</f>
        <v>70</v>
      </c>
      <c r="G29" s="15">
        <f>SUMIFS(Engagement_Score, User_ID, $A29, Category, "Entertainment")</f>
        <v>0</v>
      </c>
      <c r="H29" s="15" t="str">
        <f t="shared" si="0"/>
        <v>Travel</v>
      </c>
    </row>
    <row r="30" spans="1:8" ht="15.6" x14ac:dyDescent="0.3">
      <c r="A30" s="5" t="s">
        <v>301</v>
      </c>
      <c r="B30" s="15">
        <f>SUMIFS(Engagement_Score, User_ID, $A30, Category, "Sports")</f>
        <v>108.4</v>
      </c>
      <c r="C30" s="15">
        <f>SUMIFS(Engagement_Score, User_ID, $A30, Category, "Fashion")</f>
        <v>128.65</v>
      </c>
      <c r="D30" s="15">
        <f>SUMIFS(Engagement_Score, User_ID, $A30, Category, "Tech")</f>
        <v>193.85</v>
      </c>
      <c r="E30" s="15">
        <f>SUMIFS(Engagement_Score, User_ID, $A30, Category, "Travel")</f>
        <v>35.950000000000003</v>
      </c>
      <c r="F30" s="15">
        <f>SUMIFS(Engagement_Score, User_ID, $A30, Category, "Food")</f>
        <v>142.85</v>
      </c>
      <c r="G30" s="15">
        <f>SUMIFS(Engagement_Score, User_ID, $A30, Category, "Entertainment")</f>
        <v>0</v>
      </c>
      <c r="H30" s="15" t="str">
        <f t="shared" si="0"/>
        <v>Tech</v>
      </c>
    </row>
    <row r="31" spans="1:8" ht="15.6" x14ac:dyDescent="0.3">
      <c r="A31" s="5" t="s">
        <v>316</v>
      </c>
      <c r="B31" s="15">
        <f>SUMIFS(Engagement_Score, User_ID, $A31, Category, "Sports")</f>
        <v>161.6</v>
      </c>
      <c r="C31" s="15">
        <f>SUMIFS(Engagement_Score, User_ID, $A31, Category, "Fashion")</f>
        <v>37.799999999999997</v>
      </c>
      <c r="D31" s="15">
        <f>SUMIFS(Engagement_Score, User_ID, $A31, Category, "Tech")</f>
        <v>0</v>
      </c>
      <c r="E31" s="15">
        <f>SUMIFS(Engagement_Score, User_ID, $A31, Category, "Travel")</f>
        <v>172.3</v>
      </c>
      <c r="F31" s="15">
        <f>SUMIFS(Engagement_Score, User_ID, $A31, Category, "Food")</f>
        <v>118.39999999999999</v>
      </c>
      <c r="G31" s="15">
        <f>SUMIFS(Engagement_Score, User_ID, $A31, Category, "Entertainment")</f>
        <v>0</v>
      </c>
      <c r="H31" s="15" t="str">
        <f t="shared" si="0"/>
        <v>Travel</v>
      </c>
    </row>
    <row r="32" spans="1:8" ht="15.6" x14ac:dyDescent="0.3">
      <c r="A32" s="5" t="s">
        <v>328</v>
      </c>
      <c r="B32" s="15">
        <f>SUMIFS(Engagement_Score, User_ID, $A32, Category, "Sports")</f>
        <v>0</v>
      </c>
      <c r="C32" s="15">
        <f>SUMIFS(Engagement_Score, User_ID, $A32, Category, "Fashion")</f>
        <v>156.75</v>
      </c>
      <c r="D32" s="15">
        <f>SUMIFS(Engagement_Score, User_ID, $A32, Category, "Tech")</f>
        <v>67.8</v>
      </c>
      <c r="E32" s="15">
        <f>SUMIFS(Engagement_Score, User_ID, $A32, Category, "Travel")</f>
        <v>110.30000000000001</v>
      </c>
      <c r="F32" s="15">
        <f>SUMIFS(Engagement_Score, User_ID, $A32, Category, "Food")</f>
        <v>111.55</v>
      </c>
      <c r="G32" s="15">
        <f>SUMIFS(Engagement_Score, User_ID, $A32, Category, "Entertainment")</f>
        <v>46.85</v>
      </c>
      <c r="H32" s="15" t="str">
        <f t="shared" si="0"/>
        <v>Fashion</v>
      </c>
    </row>
    <row r="33" spans="1:8" ht="15.6" x14ac:dyDescent="0.3">
      <c r="A33" s="5" t="s">
        <v>339</v>
      </c>
      <c r="B33" s="15">
        <f>SUMIFS(Engagement_Score, User_ID, $A33, Category, "Sports")</f>
        <v>39.200000000000003</v>
      </c>
      <c r="C33" s="15">
        <f>SUMIFS(Engagement_Score, User_ID, $A33, Category, "Fashion")</f>
        <v>91.9</v>
      </c>
      <c r="D33" s="15">
        <f>SUMIFS(Engagement_Score, User_ID, $A33, Category, "Tech")</f>
        <v>0</v>
      </c>
      <c r="E33" s="15">
        <f>SUMIFS(Engagement_Score, User_ID, $A33, Category, "Travel")</f>
        <v>27.1</v>
      </c>
      <c r="F33" s="15">
        <f>SUMIFS(Engagement_Score, User_ID, $A33, Category, "Food")</f>
        <v>0</v>
      </c>
      <c r="G33" s="15">
        <f>SUMIFS(Engagement_Score, User_ID, $A33, Category, "Entertainment")</f>
        <v>0</v>
      </c>
      <c r="H33" s="15" t="str">
        <f t="shared" si="0"/>
        <v>Fashion</v>
      </c>
    </row>
    <row r="34" spans="1:8" ht="15.6" x14ac:dyDescent="0.3">
      <c r="A34" s="5" t="s">
        <v>344</v>
      </c>
      <c r="B34" s="15">
        <f>SUMIFS(Engagement_Score, User_ID, $A34, Category, "Sports")</f>
        <v>164.35</v>
      </c>
      <c r="C34" s="15">
        <f>SUMIFS(Engagement_Score, User_ID, $A34, Category, "Fashion")</f>
        <v>22.6</v>
      </c>
      <c r="D34" s="15">
        <f>SUMIFS(Engagement_Score, User_ID, $A34, Category, "Tech")</f>
        <v>120.35</v>
      </c>
      <c r="E34" s="15">
        <f>SUMIFS(Engagement_Score, User_ID, $A34, Category, "Travel")</f>
        <v>126.1</v>
      </c>
      <c r="F34" s="15">
        <f>SUMIFS(Engagement_Score, User_ID, $A34, Category, "Food")</f>
        <v>97</v>
      </c>
      <c r="G34" s="15">
        <f>SUMIFS(Engagement_Score, User_ID, $A34, Category, "Entertainment")</f>
        <v>59.75</v>
      </c>
      <c r="H34" s="15" t="str">
        <f t="shared" si="0"/>
        <v>Sports</v>
      </c>
    </row>
    <row r="35" spans="1:8" ht="15.6" x14ac:dyDescent="0.3">
      <c r="A35" s="5" t="s">
        <v>360</v>
      </c>
      <c r="B35" s="15">
        <f>SUMIFS(Engagement_Score, User_ID, $A35, Category, "Sports")</f>
        <v>113.5</v>
      </c>
      <c r="C35" s="15">
        <f>SUMIFS(Engagement_Score, User_ID, $A35, Category, "Fashion")</f>
        <v>50.4</v>
      </c>
      <c r="D35" s="15">
        <f>SUMIFS(Engagement_Score, User_ID, $A35, Category, "Tech")</f>
        <v>147.9</v>
      </c>
      <c r="E35" s="15">
        <f>SUMIFS(Engagement_Score, User_ID, $A35, Category, "Travel")</f>
        <v>368.15</v>
      </c>
      <c r="F35" s="15">
        <f>SUMIFS(Engagement_Score, User_ID, $A35, Category, "Food")</f>
        <v>67.349999999999994</v>
      </c>
      <c r="G35" s="15">
        <f>SUMIFS(Engagement_Score, User_ID, $A35, Category, "Entertainment")</f>
        <v>236.99999999999997</v>
      </c>
      <c r="H35" s="15" t="str">
        <f t="shared" si="0"/>
        <v>Travel</v>
      </c>
    </row>
    <row r="36" spans="1:8" ht="15.6" x14ac:dyDescent="0.3">
      <c r="A36" s="5" t="s">
        <v>379</v>
      </c>
      <c r="B36" s="15">
        <f>SUMIFS(Engagement_Score, User_ID, $A36, Category, "Sports")</f>
        <v>99.75</v>
      </c>
      <c r="C36" s="15">
        <f>SUMIFS(Engagement_Score, User_ID, $A36, Category, "Fashion")</f>
        <v>0</v>
      </c>
      <c r="D36" s="15">
        <f>SUMIFS(Engagement_Score, User_ID, $A36, Category, "Tech")</f>
        <v>69.349999999999994</v>
      </c>
      <c r="E36" s="15">
        <f>SUMIFS(Engagement_Score, User_ID, $A36, Category, "Travel")</f>
        <v>149.05000000000001</v>
      </c>
      <c r="F36" s="15">
        <f>SUMIFS(Engagement_Score, User_ID, $A36, Category, "Food")</f>
        <v>55.3</v>
      </c>
      <c r="G36" s="15">
        <f>SUMIFS(Engagement_Score, User_ID, $A36, Category, "Entertainment")</f>
        <v>0</v>
      </c>
      <c r="H36" s="15" t="str">
        <f t="shared" si="0"/>
        <v>Travel</v>
      </c>
    </row>
    <row r="37" spans="1:8" ht="15.6" x14ac:dyDescent="0.3">
      <c r="A37" s="5" t="s">
        <v>386</v>
      </c>
      <c r="B37" s="15">
        <f>SUMIFS(Engagement_Score, User_ID, $A37, Category, "Sports")</f>
        <v>108.2</v>
      </c>
      <c r="C37" s="15">
        <f>SUMIFS(Engagement_Score, User_ID, $A37, Category, "Fashion")</f>
        <v>80.8</v>
      </c>
      <c r="D37" s="15">
        <f>SUMIFS(Engagement_Score, User_ID, $A37, Category, "Tech")</f>
        <v>143.85000000000002</v>
      </c>
      <c r="E37" s="15">
        <f>SUMIFS(Engagement_Score, User_ID, $A37, Category, "Travel")</f>
        <v>146.4</v>
      </c>
      <c r="F37" s="15">
        <f>SUMIFS(Engagement_Score, User_ID, $A37, Category, "Food")</f>
        <v>259.8</v>
      </c>
      <c r="G37" s="15">
        <f>SUMIFS(Engagement_Score, User_ID, $A37, Category, "Entertainment")</f>
        <v>72.099999999999994</v>
      </c>
      <c r="H37" s="15" t="str">
        <f t="shared" si="0"/>
        <v>Food</v>
      </c>
    </row>
    <row r="38" spans="1:8" ht="15.6" x14ac:dyDescent="0.3">
      <c r="A38" s="5" t="s">
        <v>403</v>
      </c>
      <c r="B38" s="15">
        <f>SUMIFS(Engagement_Score, User_ID, $A38, Category, "Sports")</f>
        <v>152.44999999999999</v>
      </c>
      <c r="C38" s="15">
        <f>SUMIFS(Engagement_Score, User_ID, $A38, Category, "Fashion")</f>
        <v>31.75</v>
      </c>
      <c r="D38" s="15">
        <f>SUMIFS(Engagement_Score, User_ID, $A38, Category, "Tech")</f>
        <v>64.2</v>
      </c>
      <c r="E38" s="15">
        <f>SUMIFS(Engagement_Score, User_ID, $A38, Category, "Travel")</f>
        <v>81.8</v>
      </c>
      <c r="F38" s="15">
        <f>SUMIFS(Engagement_Score, User_ID, $A38, Category, "Food")</f>
        <v>0</v>
      </c>
      <c r="G38" s="15">
        <f>SUMIFS(Engagement_Score, User_ID, $A38, Category, "Entertainment")</f>
        <v>0</v>
      </c>
      <c r="H38" s="15" t="str">
        <f t="shared" si="0"/>
        <v>Sports</v>
      </c>
    </row>
    <row r="39" spans="1:8" ht="15.6" x14ac:dyDescent="0.3">
      <c r="A39" s="5" t="s">
        <v>412</v>
      </c>
      <c r="B39" s="15">
        <f>SUMIFS(Engagement_Score, User_ID, $A39, Category, "Sports")</f>
        <v>199.14999999999998</v>
      </c>
      <c r="C39" s="15">
        <f>SUMIFS(Engagement_Score, User_ID, $A39, Category, "Fashion")</f>
        <v>33.65</v>
      </c>
      <c r="D39" s="15">
        <f>SUMIFS(Engagement_Score, User_ID, $A39, Category, "Tech")</f>
        <v>181.75</v>
      </c>
      <c r="E39" s="15">
        <f>SUMIFS(Engagement_Score, User_ID, $A39, Category, "Travel")</f>
        <v>113.75</v>
      </c>
      <c r="F39" s="15">
        <f>SUMIFS(Engagement_Score, User_ID, $A39, Category, "Food")</f>
        <v>99.05</v>
      </c>
      <c r="G39" s="15">
        <f>SUMIFS(Engagement_Score, User_ID, $A39, Category, "Entertainment")</f>
        <v>51.7</v>
      </c>
      <c r="H39" s="15" t="str">
        <f t="shared" si="0"/>
        <v>Sports</v>
      </c>
    </row>
    <row r="40" spans="1:8" ht="15.6" x14ac:dyDescent="0.3">
      <c r="A40" s="5" t="s">
        <v>425</v>
      </c>
      <c r="B40" s="15">
        <f>SUMIFS(Engagement_Score, User_ID, $A40, Category, "Sports")</f>
        <v>0</v>
      </c>
      <c r="C40" s="15">
        <f>SUMIFS(Engagement_Score, User_ID, $A40, Category, "Fashion")</f>
        <v>10.050000000000001</v>
      </c>
      <c r="D40" s="15">
        <f>SUMIFS(Engagement_Score, User_ID, $A40, Category, "Tech")</f>
        <v>0</v>
      </c>
      <c r="E40" s="15">
        <f>SUMIFS(Engagement_Score, User_ID, $A40, Category, "Travel")</f>
        <v>77.8</v>
      </c>
      <c r="F40" s="15">
        <f>SUMIFS(Engagement_Score, User_ID, $A40, Category, "Food")</f>
        <v>16.850000000000001</v>
      </c>
      <c r="G40" s="15">
        <f>SUMIFS(Engagement_Score, User_ID, $A40, Category, "Entertainment")</f>
        <v>78.2</v>
      </c>
      <c r="H40" s="15" t="str">
        <f t="shared" si="0"/>
        <v>Entertainment</v>
      </c>
    </row>
    <row r="41" spans="1:8" ht="15.6" x14ac:dyDescent="0.3">
      <c r="A41" s="5" t="s">
        <v>431</v>
      </c>
      <c r="B41" s="15">
        <f>SUMIFS(Engagement_Score, User_ID, $A41, Category, "Sports")</f>
        <v>122.3</v>
      </c>
      <c r="C41" s="15">
        <f>SUMIFS(Engagement_Score, User_ID, $A41, Category, "Fashion")</f>
        <v>127.80000000000001</v>
      </c>
      <c r="D41" s="15">
        <f>SUMIFS(Engagement_Score, User_ID, $A41, Category, "Tech")</f>
        <v>84.75</v>
      </c>
      <c r="E41" s="15">
        <f>SUMIFS(Engagement_Score, User_ID, $A41, Category, "Travel")</f>
        <v>129.15</v>
      </c>
      <c r="F41" s="15">
        <f>SUMIFS(Engagement_Score, User_ID, $A41, Category, "Food")</f>
        <v>208.45</v>
      </c>
      <c r="G41" s="15">
        <f>SUMIFS(Engagement_Score, User_ID, $A41, Category, "Entertainment")</f>
        <v>0</v>
      </c>
      <c r="H41" s="15" t="str">
        <f t="shared" si="0"/>
        <v>Food</v>
      </c>
    </row>
    <row r="42" spans="1:8" ht="15.6" x14ac:dyDescent="0.3">
      <c r="A42" s="5" t="s">
        <v>446</v>
      </c>
      <c r="B42" s="15">
        <f>SUMIFS(Engagement_Score, User_ID, $A42, Category, "Sports")</f>
        <v>57.3</v>
      </c>
      <c r="C42" s="15">
        <f>SUMIFS(Engagement_Score, User_ID, $A42, Category, "Fashion")</f>
        <v>161.75</v>
      </c>
      <c r="D42" s="15">
        <f>SUMIFS(Engagement_Score, User_ID, $A42, Category, "Tech")</f>
        <v>120.9</v>
      </c>
      <c r="E42" s="15">
        <f>SUMIFS(Engagement_Score, User_ID, $A42, Category, "Travel")</f>
        <v>43.55</v>
      </c>
      <c r="F42" s="15">
        <f>SUMIFS(Engagement_Score, User_ID, $A42, Category, "Food")</f>
        <v>58.6</v>
      </c>
      <c r="G42" s="15">
        <f>SUMIFS(Engagement_Score, User_ID, $A42, Category, "Entertainment")</f>
        <v>19</v>
      </c>
      <c r="H42" s="15" t="str">
        <f t="shared" si="0"/>
        <v>Fashion</v>
      </c>
    </row>
    <row r="43" spans="1:8" ht="15.6" x14ac:dyDescent="0.3">
      <c r="A43" s="5" t="s">
        <v>458</v>
      </c>
      <c r="B43" s="15">
        <f>SUMIFS(Engagement_Score, User_ID, $A43, Category, "Sports")</f>
        <v>40</v>
      </c>
      <c r="C43" s="15">
        <f>SUMIFS(Engagement_Score, User_ID, $A43, Category, "Fashion")</f>
        <v>0</v>
      </c>
      <c r="D43" s="15">
        <f>SUMIFS(Engagement_Score, User_ID, $A43, Category, "Tech")</f>
        <v>0</v>
      </c>
      <c r="E43" s="15">
        <f>SUMIFS(Engagement_Score, User_ID, $A43, Category, "Travel")</f>
        <v>36.549999999999997</v>
      </c>
      <c r="F43" s="15">
        <f>SUMIFS(Engagement_Score, User_ID, $A43, Category, "Food")</f>
        <v>120.75</v>
      </c>
      <c r="G43" s="15">
        <f>SUMIFS(Engagement_Score, User_ID, $A43, Category, "Entertainment")</f>
        <v>71.349999999999994</v>
      </c>
      <c r="H43" s="15" t="str">
        <f t="shared" si="0"/>
        <v>Food</v>
      </c>
    </row>
    <row r="44" spans="1:8" ht="15.6" x14ac:dyDescent="0.3">
      <c r="A44" s="5" t="s">
        <v>467</v>
      </c>
      <c r="B44" s="15">
        <f>SUMIFS(Engagement_Score, User_ID, $A44, Category, "Sports")</f>
        <v>174.6</v>
      </c>
      <c r="C44" s="15">
        <f>SUMIFS(Engagement_Score, User_ID, $A44, Category, "Fashion")</f>
        <v>50.6</v>
      </c>
      <c r="D44" s="15">
        <f>SUMIFS(Engagement_Score, User_ID, $A44, Category, "Tech")</f>
        <v>67.95</v>
      </c>
      <c r="E44" s="15">
        <f>SUMIFS(Engagement_Score, User_ID, $A44, Category, "Travel")</f>
        <v>0</v>
      </c>
      <c r="F44" s="15">
        <f>SUMIFS(Engagement_Score, User_ID, $A44, Category, "Food")</f>
        <v>269.7</v>
      </c>
      <c r="G44" s="15">
        <f>SUMIFS(Engagement_Score, User_ID, $A44, Category, "Entertainment")</f>
        <v>0</v>
      </c>
      <c r="H44" s="15" t="str">
        <f t="shared" si="0"/>
        <v>Food</v>
      </c>
    </row>
    <row r="45" spans="1:8" ht="15.6" x14ac:dyDescent="0.3">
      <c r="A45" s="5" t="s">
        <v>480</v>
      </c>
      <c r="B45" s="15">
        <f>SUMIFS(Engagement_Score, User_ID, $A45, Category, "Sports")</f>
        <v>49</v>
      </c>
      <c r="C45" s="15">
        <f>SUMIFS(Engagement_Score, User_ID, $A45, Category, "Fashion")</f>
        <v>63.45</v>
      </c>
      <c r="D45" s="15">
        <f>SUMIFS(Engagement_Score, User_ID, $A45, Category, "Tech")</f>
        <v>0</v>
      </c>
      <c r="E45" s="15">
        <f>SUMIFS(Engagement_Score, User_ID, $A45, Category, "Travel")</f>
        <v>46.1</v>
      </c>
      <c r="F45" s="15">
        <f>SUMIFS(Engagement_Score, User_ID, $A45, Category, "Food")</f>
        <v>0</v>
      </c>
      <c r="G45" s="15">
        <f>SUMIFS(Engagement_Score, User_ID, $A45, Category, "Entertainment")</f>
        <v>26.95</v>
      </c>
      <c r="H45" s="15" t="str">
        <f t="shared" si="0"/>
        <v>Fashion</v>
      </c>
    </row>
    <row r="46" spans="1:8" ht="15.6" x14ac:dyDescent="0.3">
      <c r="A46" s="5" t="s">
        <v>485</v>
      </c>
      <c r="B46" s="15">
        <f>SUMIFS(Engagement_Score, User_ID, $A46, Category, "Sports")</f>
        <v>26.35</v>
      </c>
      <c r="C46" s="15">
        <f>SUMIFS(Engagement_Score, User_ID, $A46, Category, "Fashion")</f>
        <v>212.39999999999998</v>
      </c>
      <c r="D46" s="15">
        <f>SUMIFS(Engagement_Score, User_ID, $A46, Category, "Tech")</f>
        <v>103.05000000000001</v>
      </c>
      <c r="E46" s="15">
        <f>SUMIFS(Engagement_Score, User_ID, $A46, Category, "Travel")</f>
        <v>60.5</v>
      </c>
      <c r="F46" s="15">
        <f>SUMIFS(Engagement_Score, User_ID, $A46, Category, "Food")</f>
        <v>112.45</v>
      </c>
      <c r="G46" s="15">
        <f>SUMIFS(Engagement_Score, User_ID, $A46, Category, "Entertainment")</f>
        <v>126</v>
      </c>
      <c r="H46" s="15" t="str">
        <f t="shared" si="0"/>
        <v>Fashion</v>
      </c>
    </row>
    <row r="47" spans="1:8" ht="15.6" x14ac:dyDescent="0.3">
      <c r="A47" s="5" t="s">
        <v>500</v>
      </c>
      <c r="B47" s="15">
        <f>SUMIFS(Engagement_Score, User_ID, $A47, Category, "Sports")</f>
        <v>119</v>
      </c>
      <c r="C47" s="15">
        <f>SUMIFS(Engagement_Score, User_ID, $A47, Category, "Fashion")</f>
        <v>0</v>
      </c>
      <c r="D47" s="15">
        <f>SUMIFS(Engagement_Score, User_ID, $A47, Category, "Tech")</f>
        <v>62.55</v>
      </c>
      <c r="E47" s="15">
        <f>SUMIFS(Engagement_Score, User_ID, $A47, Category, "Travel")</f>
        <v>147.20000000000002</v>
      </c>
      <c r="F47" s="15">
        <f>SUMIFS(Engagement_Score, User_ID, $A47, Category, "Food")</f>
        <v>68.599999999999994</v>
      </c>
      <c r="G47" s="15">
        <f>SUMIFS(Engagement_Score, User_ID, $A47, Category, "Entertainment")</f>
        <v>26.2</v>
      </c>
      <c r="H47" s="15" t="str">
        <f t="shared" si="0"/>
        <v>Travel</v>
      </c>
    </row>
    <row r="48" spans="1:8" ht="15.6" x14ac:dyDescent="0.3">
      <c r="A48" s="5" t="s">
        <v>510</v>
      </c>
      <c r="B48" s="15">
        <f>SUMIFS(Engagement_Score, User_ID, $A48, Category, "Sports")</f>
        <v>52.45</v>
      </c>
      <c r="C48" s="15">
        <f>SUMIFS(Engagement_Score, User_ID, $A48, Category, "Fashion")</f>
        <v>0</v>
      </c>
      <c r="D48" s="15">
        <f>SUMIFS(Engagement_Score, User_ID, $A48, Category, "Tech")</f>
        <v>76.099999999999994</v>
      </c>
      <c r="E48" s="15">
        <f>SUMIFS(Engagement_Score, User_ID, $A48, Category, "Travel")</f>
        <v>33.9</v>
      </c>
      <c r="F48" s="15">
        <f>SUMIFS(Engagement_Score, User_ID, $A48, Category, "Food")</f>
        <v>30.5</v>
      </c>
      <c r="G48" s="15">
        <f>SUMIFS(Engagement_Score, User_ID, $A48, Category, "Entertainment")</f>
        <v>102.6</v>
      </c>
      <c r="H48" s="15" t="str">
        <f t="shared" si="0"/>
        <v>Entertainment</v>
      </c>
    </row>
    <row r="49" spans="1:8" ht="15.6" x14ac:dyDescent="0.3">
      <c r="A49" s="5" t="s">
        <v>518</v>
      </c>
      <c r="B49" s="15">
        <f>SUMIFS(Engagement_Score, User_ID, $A49, Category, "Sports")</f>
        <v>37.299999999999997</v>
      </c>
      <c r="C49" s="15">
        <f>SUMIFS(Engagement_Score, User_ID, $A49, Category, "Fashion")</f>
        <v>87.800000000000011</v>
      </c>
      <c r="D49" s="15">
        <f>SUMIFS(Engagement_Score, User_ID, $A49, Category, "Tech")</f>
        <v>126.8</v>
      </c>
      <c r="E49" s="15">
        <f>SUMIFS(Engagement_Score, User_ID, $A49, Category, "Travel")</f>
        <v>66.400000000000006</v>
      </c>
      <c r="F49" s="15">
        <f>SUMIFS(Engagement_Score, User_ID, $A49, Category, "Food")</f>
        <v>52.85</v>
      </c>
      <c r="G49" s="15">
        <f>SUMIFS(Engagement_Score, User_ID, $A49, Category, "Entertainment")</f>
        <v>72.25</v>
      </c>
      <c r="H49" s="15" t="str">
        <f t="shared" si="0"/>
        <v>Tech</v>
      </c>
    </row>
    <row r="50" spans="1:8" ht="15.6" x14ac:dyDescent="0.3">
      <c r="A50" s="5" t="s">
        <v>529</v>
      </c>
      <c r="B50" s="15">
        <f>SUMIFS(Engagement_Score, User_ID, $A50, Category, "Sports")</f>
        <v>98.6</v>
      </c>
      <c r="C50" s="15">
        <f>SUMIFS(Engagement_Score, User_ID, $A50, Category, "Fashion")</f>
        <v>264.20000000000005</v>
      </c>
      <c r="D50" s="15">
        <f>SUMIFS(Engagement_Score, User_ID, $A50, Category, "Tech")</f>
        <v>65.45</v>
      </c>
      <c r="E50" s="15">
        <f>SUMIFS(Engagement_Score, User_ID, $A50, Category, "Travel")</f>
        <v>85.4</v>
      </c>
      <c r="F50" s="15">
        <f>SUMIFS(Engagement_Score, User_ID, $A50, Category, "Food")</f>
        <v>0</v>
      </c>
      <c r="G50" s="15">
        <f>SUMIFS(Engagement_Score, User_ID, $A50, Category, "Entertainment")</f>
        <v>50.75</v>
      </c>
      <c r="H50" s="15" t="str">
        <f t="shared" si="0"/>
        <v>Fashion</v>
      </c>
    </row>
    <row r="51" spans="1:8" ht="15.6" x14ac:dyDescent="0.3">
      <c r="A51" s="5" t="s">
        <v>542</v>
      </c>
      <c r="B51" s="15">
        <f>SUMIFS(Engagement_Score, User_ID, $A51, Category, "Sports")</f>
        <v>63.35</v>
      </c>
      <c r="C51" s="15">
        <f>SUMIFS(Engagement_Score, User_ID, $A51, Category, "Fashion")</f>
        <v>97.4</v>
      </c>
      <c r="D51" s="15">
        <f>SUMIFS(Engagement_Score, User_ID, $A51, Category, "Tech")</f>
        <v>64.849999999999994</v>
      </c>
      <c r="E51" s="15">
        <f>SUMIFS(Engagement_Score, User_ID, $A51, Category, "Travel")</f>
        <v>67.849999999999994</v>
      </c>
      <c r="F51" s="15">
        <f>SUMIFS(Engagement_Score, User_ID, $A51, Category, "Food")</f>
        <v>212</v>
      </c>
      <c r="G51" s="15">
        <f>SUMIFS(Engagement_Score, User_ID, $A51, Category, "Entertainment")</f>
        <v>34.4</v>
      </c>
      <c r="H51" s="15" t="str">
        <f t="shared" si="0"/>
        <v>Food</v>
      </c>
    </row>
    <row r="52" spans="1:8" ht="15.6" x14ac:dyDescent="0.3">
      <c r="A52" s="5" t="s">
        <v>556</v>
      </c>
      <c r="B52" s="15">
        <f>SUMIFS(Engagement_Score, User_ID, $A52, Category, "Sports")</f>
        <v>0</v>
      </c>
      <c r="C52" s="15">
        <f>SUMIFS(Engagement_Score, User_ID, $A52, Category, "Fashion")</f>
        <v>171.8</v>
      </c>
      <c r="D52" s="15">
        <f>SUMIFS(Engagement_Score, User_ID, $A52, Category, "Tech")</f>
        <v>44.2</v>
      </c>
      <c r="E52" s="15">
        <f>SUMIFS(Engagement_Score, User_ID, $A52, Category, "Travel")</f>
        <v>98.800000000000011</v>
      </c>
      <c r="F52" s="15">
        <f>SUMIFS(Engagement_Score, User_ID, $A52, Category, "Food")</f>
        <v>0</v>
      </c>
      <c r="G52" s="15">
        <f>SUMIFS(Engagement_Score, User_ID, $A52, Category, "Entertainment")</f>
        <v>0</v>
      </c>
      <c r="H52" s="15" t="str">
        <f t="shared" si="0"/>
        <v>Fashion</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B75B-6C9A-4D2D-BD93-C46C90AEE346}">
  <dimension ref="A1:B6"/>
  <sheetViews>
    <sheetView workbookViewId="0">
      <selection activeCell="B16" sqref="B16"/>
    </sheetView>
  </sheetViews>
  <sheetFormatPr defaultRowHeight="14.4" x14ac:dyDescent="0.3"/>
  <cols>
    <col min="1" max="1" width="24.109375" bestFit="1" customWidth="1"/>
    <col min="2" max="2" width="30.21875" customWidth="1"/>
  </cols>
  <sheetData>
    <row r="1" spans="1:2" ht="36" customHeight="1" x14ac:dyDescent="0.3">
      <c r="A1" s="18" t="s">
        <v>575</v>
      </c>
      <c r="B1" s="18"/>
    </row>
    <row r="2" spans="1:2" ht="15.6" x14ac:dyDescent="0.3">
      <c r="A2" s="19" t="s">
        <v>576</v>
      </c>
      <c r="B2" s="19" t="s">
        <v>577</v>
      </c>
    </row>
    <row r="3" spans="1:2" ht="15.6" x14ac:dyDescent="0.3">
      <c r="A3" s="5" t="s">
        <v>578</v>
      </c>
      <c r="B3" s="5">
        <f>COUNTA(_xlfn.UNIQUE(User_ID))</f>
        <v>50</v>
      </c>
    </row>
    <row r="4" spans="1:2" ht="15.6" x14ac:dyDescent="0.3">
      <c r="A4" s="5" t="s">
        <v>579</v>
      </c>
      <c r="B4" s="20">
        <f>AVERAGE(Engagement_Score)</f>
        <v>46.100399999999993</v>
      </c>
    </row>
    <row r="5" spans="1:2" ht="15.6" x14ac:dyDescent="0.3">
      <c r="A5" s="5" t="s">
        <v>581</v>
      </c>
      <c r="B5" s="5" t="str" cm="1">
        <f t="array" ref="B5">INDEX(_xlfn.UNIQUE(Category), MATCH(MAX(SUMIFS(Engagement_Score, Category, _xlfn.UNIQUE(Category))), SUMIFS(Engagement_Score, Category, _xlfn.UNIQUE(Category)), 0))</f>
        <v>Food</v>
      </c>
    </row>
    <row r="6" spans="1:2" ht="15.6" x14ac:dyDescent="0.3">
      <c r="A6" s="5" t="s">
        <v>580</v>
      </c>
      <c r="B6" s="5" t="str">
        <f>INDEX(User_ID, MATCH(MAX(Engagement_Score), Engagement_Score, 0))</f>
        <v>U033</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23E9-3CD3-4065-B32C-DABBA075DC20}">
  <dimension ref="A1:H75"/>
  <sheetViews>
    <sheetView workbookViewId="0">
      <selection activeCell="H20" sqref="H20"/>
    </sheetView>
  </sheetViews>
  <sheetFormatPr defaultRowHeight="14.4" x14ac:dyDescent="0.3"/>
  <cols>
    <col min="1" max="1" width="23.21875" bestFit="1" customWidth="1"/>
    <col min="2" max="2" width="15.5546875" bestFit="1" customWidth="1"/>
    <col min="3" max="3" width="7.44140625" bestFit="1" customWidth="1"/>
    <col min="4" max="4" width="8" bestFit="1" customWidth="1"/>
    <col min="5" max="7" width="7" bestFit="1" customWidth="1"/>
    <col min="8" max="8" width="10.5546875" bestFit="1" customWidth="1"/>
  </cols>
  <sheetData>
    <row r="1" spans="1:3" x14ac:dyDescent="0.3">
      <c r="A1" s="24" t="s">
        <v>582</v>
      </c>
      <c r="B1" s="24"/>
      <c r="C1" s="24"/>
    </row>
    <row r="2" spans="1:3" x14ac:dyDescent="0.3">
      <c r="A2" s="21" t="s">
        <v>583</v>
      </c>
      <c r="B2" t="s">
        <v>585</v>
      </c>
    </row>
    <row r="3" spans="1:3" x14ac:dyDescent="0.3">
      <c r="A3" s="22" t="s">
        <v>23</v>
      </c>
      <c r="B3" s="23">
        <v>3185.8499999999985</v>
      </c>
    </row>
    <row r="4" spans="1:3" x14ac:dyDescent="0.3">
      <c r="A4" s="22" t="s">
        <v>15</v>
      </c>
      <c r="B4" s="23">
        <v>3999.1999999999994</v>
      </c>
    </row>
    <row r="5" spans="1:3" x14ac:dyDescent="0.3">
      <c r="A5" s="22" t="s">
        <v>19</v>
      </c>
      <c r="B5" s="23">
        <v>4376.1499999999996</v>
      </c>
    </row>
    <row r="6" spans="1:3" x14ac:dyDescent="0.3">
      <c r="A6" s="22" t="s">
        <v>9</v>
      </c>
      <c r="B6" s="23">
        <v>4015.8999999999992</v>
      </c>
    </row>
    <row r="7" spans="1:3" x14ac:dyDescent="0.3">
      <c r="A7" s="22" t="s">
        <v>12</v>
      </c>
      <c r="B7" s="23">
        <v>3568.1999999999989</v>
      </c>
    </row>
    <row r="8" spans="1:3" x14ac:dyDescent="0.3">
      <c r="A8" s="22" t="s">
        <v>21</v>
      </c>
      <c r="B8" s="23">
        <v>3904.8999999999996</v>
      </c>
    </row>
    <row r="9" spans="1:3" x14ac:dyDescent="0.3">
      <c r="A9" s="22" t="s">
        <v>584</v>
      </c>
      <c r="B9" s="23">
        <v>23050.199999999997</v>
      </c>
    </row>
    <row r="11" spans="1:3" x14ac:dyDescent="0.3">
      <c r="A11" s="25" t="s">
        <v>586</v>
      </c>
      <c r="B11" s="25"/>
    </row>
    <row r="12" spans="1:3" x14ac:dyDescent="0.3">
      <c r="A12" s="21" t="s">
        <v>583</v>
      </c>
      <c r="B12" t="s">
        <v>585</v>
      </c>
    </row>
    <row r="13" spans="1:3" x14ac:dyDescent="0.3">
      <c r="A13" s="22" t="s">
        <v>23</v>
      </c>
      <c r="B13" s="23">
        <v>3185.8499999999985</v>
      </c>
    </row>
    <row r="14" spans="1:3" x14ac:dyDescent="0.3">
      <c r="A14" s="22" t="s">
        <v>15</v>
      </c>
      <c r="B14" s="23">
        <v>3999.1999999999994</v>
      </c>
    </row>
    <row r="15" spans="1:3" x14ac:dyDescent="0.3">
      <c r="A15" s="22" t="s">
        <v>19</v>
      </c>
      <c r="B15" s="23">
        <v>4376.1499999999996</v>
      </c>
    </row>
    <row r="16" spans="1:3" x14ac:dyDescent="0.3">
      <c r="A16" s="22" t="s">
        <v>9</v>
      </c>
      <c r="B16" s="23">
        <v>4015.8999999999992</v>
      </c>
    </row>
    <row r="17" spans="1:8" x14ac:dyDescent="0.3">
      <c r="A17" s="22" t="s">
        <v>12</v>
      </c>
      <c r="B17" s="23">
        <v>3568.1999999999989</v>
      </c>
    </row>
    <row r="18" spans="1:8" x14ac:dyDescent="0.3">
      <c r="A18" s="22" t="s">
        <v>21</v>
      </c>
      <c r="B18" s="23">
        <v>3904.8999999999996</v>
      </c>
    </row>
    <row r="19" spans="1:8" x14ac:dyDescent="0.3">
      <c r="A19" s="22" t="s">
        <v>584</v>
      </c>
      <c r="B19" s="23">
        <v>23050.199999999997</v>
      </c>
    </row>
    <row r="22" spans="1:8" x14ac:dyDescent="0.3">
      <c r="A22" s="26" t="s">
        <v>589</v>
      </c>
      <c r="B22" s="26"/>
      <c r="C22" s="26"/>
      <c r="D22" s="26"/>
      <c r="E22" s="26"/>
      <c r="F22" s="26"/>
      <c r="G22" s="26"/>
      <c r="H22" s="26"/>
    </row>
    <row r="23" spans="1:8" x14ac:dyDescent="0.3">
      <c r="A23" s="21" t="s">
        <v>588</v>
      </c>
      <c r="B23" s="21" t="s">
        <v>587</v>
      </c>
    </row>
    <row r="24" spans="1:8" x14ac:dyDescent="0.3">
      <c r="A24" s="21" t="s">
        <v>583</v>
      </c>
      <c r="B24" t="s">
        <v>23</v>
      </c>
      <c r="C24" t="s">
        <v>15</v>
      </c>
      <c r="D24" t="s">
        <v>19</v>
      </c>
      <c r="E24" t="s">
        <v>9</v>
      </c>
      <c r="F24" t="s">
        <v>12</v>
      </c>
      <c r="G24" t="s">
        <v>21</v>
      </c>
      <c r="H24" t="s">
        <v>584</v>
      </c>
    </row>
    <row r="25" spans="1:8" x14ac:dyDescent="0.3">
      <c r="A25" s="22" t="s">
        <v>7</v>
      </c>
      <c r="B25" s="23">
        <v>65.95</v>
      </c>
      <c r="C25" s="23">
        <v>89.55</v>
      </c>
      <c r="D25" s="23">
        <v>52.55</v>
      </c>
      <c r="E25" s="23">
        <v>230.5</v>
      </c>
      <c r="F25" s="23">
        <v>60.599999999999994</v>
      </c>
      <c r="G25" s="23">
        <v>107.35</v>
      </c>
      <c r="H25" s="23">
        <v>606.5</v>
      </c>
    </row>
    <row r="26" spans="1:8" x14ac:dyDescent="0.3">
      <c r="A26" s="22" t="s">
        <v>26</v>
      </c>
      <c r="B26" s="23">
        <v>100.1</v>
      </c>
      <c r="C26" s="23">
        <v>143.5</v>
      </c>
      <c r="D26" s="23"/>
      <c r="E26" s="23">
        <v>170</v>
      </c>
      <c r="F26" s="23">
        <v>96</v>
      </c>
      <c r="G26" s="23">
        <v>117.25</v>
      </c>
      <c r="H26" s="23">
        <v>626.85</v>
      </c>
    </row>
    <row r="27" spans="1:8" x14ac:dyDescent="0.3">
      <c r="A27" s="22" t="s">
        <v>41</v>
      </c>
      <c r="B27" s="23">
        <v>66.7</v>
      </c>
      <c r="C27" s="23"/>
      <c r="D27" s="23">
        <v>171.00000000000003</v>
      </c>
      <c r="E27" s="23">
        <v>82.15</v>
      </c>
      <c r="F27" s="23">
        <v>167.8</v>
      </c>
      <c r="G27" s="23">
        <v>77.650000000000006</v>
      </c>
      <c r="H27" s="23">
        <v>565.30000000000007</v>
      </c>
    </row>
    <row r="28" spans="1:8" x14ac:dyDescent="0.3">
      <c r="A28" s="22" t="s">
        <v>54</v>
      </c>
      <c r="B28" s="23">
        <v>53.55</v>
      </c>
      <c r="C28" s="23">
        <v>41.45</v>
      </c>
      <c r="D28" s="23">
        <v>136.69999999999999</v>
      </c>
      <c r="E28" s="23">
        <v>34.299999999999997</v>
      </c>
      <c r="F28" s="23"/>
      <c r="G28" s="23"/>
      <c r="H28" s="23">
        <v>266</v>
      </c>
    </row>
    <row r="29" spans="1:8" x14ac:dyDescent="0.3">
      <c r="A29" s="22" t="s">
        <v>63</v>
      </c>
      <c r="B29" s="23">
        <v>96.25</v>
      </c>
      <c r="C29" s="23">
        <v>186.60000000000002</v>
      </c>
      <c r="D29" s="23"/>
      <c r="E29" s="23">
        <v>23.15</v>
      </c>
      <c r="F29" s="23">
        <v>56.2</v>
      </c>
      <c r="G29" s="23">
        <v>49.4</v>
      </c>
      <c r="H29" s="23">
        <v>411.59999999999997</v>
      </c>
    </row>
    <row r="30" spans="1:8" x14ac:dyDescent="0.3">
      <c r="A30" s="22" t="s">
        <v>73</v>
      </c>
      <c r="B30" s="23">
        <v>36.35</v>
      </c>
      <c r="C30" s="23">
        <v>25.5</v>
      </c>
      <c r="D30" s="23">
        <v>83.45</v>
      </c>
      <c r="E30" s="23">
        <v>32.299999999999997</v>
      </c>
      <c r="F30" s="23">
        <v>125.5</v>
      </c>
      <c r="G30" s="23">
        <v>89.25</v>
      </c>
      <c r="H30" s="23">
        <v>392.35</v>
      </c>
    </row>
    <row r="31" spans="1:8" x14ac:dyDescent="0.3">
      <c r="A31" s="22" t="s">
        <v>83</v>
      </c>
      <c r="B31" s="23">
        <v>94.1</v>
      </c>
      <c r="C31" s="23"/>
      <c r="D31" s="23">
        <v>130.44999999999999</v>
      </c>
      <c r="E31" s="23">
        <v>134.35</v>
      </c>
      <c r="F31" s="23">
        <v>57.35</v>
      </c>
      <c r="G31" s="23">
        <v>29.2</v>
      </c>
      <c r="H31" s="23">
        <v>445.45</v>
      </c>
    </row>
    <row r="32" spans="1:8" x14ac:dyDescent="0.3">
      <c r="A32" s="22" t="s">
        <v>93</v>
      </c>
      <c r="B32" s="23">
        <v>89.5</v>
      </c>
      <c r="C32" s="23">
        <v>87.800000000000011</v>
      </c>
      <c r="D32" s="23">
        <v>68.650000000000006</v>
      </c>
      <c r="E32" s="23">
        <v>74.7</v>
      </c>
      <c r="F32" s="23">
        <v>23.5</v>
      </c>
      <c r="G32" s="23">
        <v>152.44999999999999</v>
      </c>
      <c r="H32" s="23">
        <v>496.6</v>
      </c>
    </row>
    <row r="33" spans="1:8" x14ac:dyDescent="0.3">
      <c r="A33" s="22" t="s">
        <v>106</v>
      </c>
      <c r="B33" s="23">
        <v>95.9</v>
      </c>
      <c r="C33" s="23"/>
      <c r="D33" s="23">
        <v>56.099999999999994</v>
      </c>
      <c r="E33" s="23">
        <v>71.5</v>
      </c>
      <c r="F33" s="23">
        <v>65.849999999999994</v>
      </c>
      <c r="G33" s="23">
        <v>108.4</v>
      </c>
      <c r="H33" s="23">
        <v>397.75</v>
      </c>
    </row>
    <row r="34" spans="1:8" x14ac:dyDescent="0.3">
      <c r="A34" s="22" t="s">
        <v>117</v>
      </c>
      <c r="B34" s="23"/>
      <c r="C34" s="23"/>
      <c r="D34" s="23"/>
      <c r="E34" s="23"/>
      <c r="F34" s="23"/>
      <c r="G34" s="23">
        <v>35.75</v>
      </c>
      <c r="H34" s="23">
        <v>35.75</v>
      </c>
    </row>
    <row r="35" spans="1:8" x14ac:dyDescent="0.3">
      <c r="A35" s="22" t="s">
        <v>119</v>
      </c>
      <c r="B35" s="23">
        <v>47.6</v>
      </c>
      <c r="C35" s="23">
        <v>44.05</v>
      </c>
      <c r="D35" s="23">
        <v>202.75</v>
      </c>
      <c r="E35" s="23">
        <v>39.299999999999997</v>
      </c>
      <c r="F35" s="23"/>
      <c r="G35" s="23">
        <v>58.2</v>
      </c>
      <c r="H35" s="23">
        <v>391.9</v>
      </c>
    </row>
    <row r="36" spans="1:8" x14ac:dyDescent="0.3">
      <c r="A36" s="22" t="s">
        <v>128</v>
      </c>
      <c r="B36" s="23">
        <v>102.95</v>
      </c>
      <c r="C36" s="23"/>
      <c r="D36" s="23">
        <v>162.5</v>
      </c>
      <c r="E36" s="23">
        <v>114</v>
      </c>
      <c r="F36" s="23"/>
      <c r="G36" s="23">
        <v>136.1</v>
      </c>
      <c r="H36" s="23">
        <v>515.54999999999995</v>
      </c>
    </row>
    <row r="37" spans="1:8" x14ac:dyDescent="0.3">
      <c r="A37" s="22" t="s">
        <v>138</v>
      </c>
      <c r="B37" s="23"/>
      <c r="C37" s="23">
        <v>65.099999999999994</v>
      </c>
      <c r="D37" s="23">
        <v>45.95</v>
      </c>
      <c r="E37" s="23"/>
      <c r="F37" s="23">
        <v>60.15</v>
      </c>
      <c r="G37" s="23">
        <v>76.2</v>
      </c>
      <c r="H37" s="23">
        <v>247.39999999999998</v>
      </c>
    </row>
    <row r="38" spans="1:8" x14ac:dyDescent="0.3">
      <c r="A38" s="22" t="s">
        <v>144</v>
      </c>
      <c r="B38" s="23">
        <v>43.9</v>
      </c>
      <c r="C38" s="23">
        <v>118.14999999999999</v>
      </c>
      <c r="D38" s="23">
        <v>42.75</v>
      </c>
      <c r="E38" s="23">
        <v>107.5</v>
      </c>
      <c r="F38" s="23"/>
      <c r="G38" s="23">
        <v>110</v>
      </c>
      <c r="H38" s="23">
        <v>422.29999999999995</v>
      </c>
    </row>
    <row r="39" spans="1:8" x14ac:dyDescent="0.3">
      <c r="A39" s="22" t="s">
        <v>154</v>
      </c>
      <c r="B39" s="23">
        <v>162.50000000000003</v>
      </c>
      <c r="C39" s="23"/>
      <c r="D39" s="23">
        <v>70.349999999999994</v>
      </c>
      <c r="E39" s="23">
        <v>125.65</v>
      </c>
      <c r="F39" s="23">
        <v>29.9</v>
      </c>
      <c r="G39" s="23"/>
      <c r="H39" s="23">
        <v>388.4</v>
      </c>
    </row>
    <row r="40" spans="1:8" x14ac:dyDescent="0.3">
      <c r="A40" s="22" t="s">
        <v>165</v>
      </c>
      <c r="B40" s="23">
        <v>162.5</v>
      </c>
      <c r="C40" s="23">
        <v>96.25</v>
      </c>
      <c r="D40" s="23">
        <v>100.75</v>
      </c>
      <c r="E40" s="23">
        <v>84.2</v>
      </c>
      <c r="F40" s="23">
        <v>39.15</v>
      </c>
      <c r="G40" s="23"/>
      <c r="H40" s="23">
        <v>482.84999999999997</v>
      </c>
    </row>
    <row r="41" spans="1:8" x14ac:dyDescent="0.3">
      <c r="A41" s="22" t="s">
        <v>178</v>
      </c>
      <c r="B41" s="23">
        <v>41.3</v>
      </c>
      <c r="C41" s="23"/>
      <c r="D41" s="23"/>
      <c r="E41" s="23"/>
      <c r="F41" s="23">
        <v>310.64999999999998</v>
      </c>
      <c r="G41" s="23">
        <v>94.399999999999991</v>
      </c>
      <c r="H41" s="23">
        <v>446.34999999999997</v>
      </c>
    </row>
    <row r="42" spans="1:8" x14ac:dyDescent="0.3">
      <c r="A42" s="22" t="s">
        <v>187</v>
      </c>
      <c r="B42" s="23">
        <v>152.30000000000001</v>
      </c>
      <c r="C42" s="23">
        <v>32.15</v>
      </c>
      <c r="D42" s="23">
        <v>46.65</v>
      </c>
      <c r="E42" s="23">
        <v>72.650000000000006</v>
      </c>
      <c r="F42" s="23"/>
      <c r="G42" s="23"/>
      <c r="H42" s="23">
        <v>303.75</v>
      </c>
    </row>
    <row r="43" spans="1:8" x14ac:dyDescent="0.3">
      <c r="A43" s="22" t="s">
        <v>195</v>
      </c>
      <c r="B43" s="23"/>
      <c r="C43" s="23">
        <v>155.95000000000002</v>
      </c>
      <c r="D43" s="23">
        <v>70.45</v>
      </c>
      <c r="E43" s="23">
        <v>73.099999999999994</v>
      </c>
      <c r="F43" s="23">
        <v>37.049999999999997</v>
      </c>
      <c r="G43" s="23">
        <v>38</v>
      </c>
      <c r="H43" s="23">
        <v>374.55</v>
      </c>
    </row>
    <row r="44" spans="1:8" x14ac:dyDescent="0.3">
      <c r="A44" s="22" t="s">
        <v>204</v>
      </c>
      <c r="B44" s="23">
        <v>101.55000000000001</v>
      </c>
      <c r="C44" s="23">
        <v>49.7</v>
      </c>
      <c r="D44" s="23">
        <v>160.6</v>
      </c>
      <c r="E44" s="23">
        <v>48.9</v>
      </c>
      <c r="F44" s="23">
        <v>59</v>
      </c>
      <c r="G44" s="23"/>
      <c r="H44" s="23">
        <v>419.75</v>
      </c>
    </row>
    <row r="45" spans="1:8" x14ac:dyDescent="0.3">
      <c r="A45" s="22" t="s">
        <v>213</v>
      </c>
      <c r="B45" s="23">
        <v>113.25</v>
      </c>
      <c r="C45" s="23">
        <v>125.35</v>
      </c>
      <c r="D45" s="23">
        <v>64.150000000000006</v>
      </c>
      <c r="E45" s="23"/>
      <c r="F45" s="23"/>
      <c r="G45" s="23">
        <v>120</v>
      </c>
      <c r="H45" s="23">
        <v>422.75</v>
      </c>
    </row>
    <row r="46" spans="1:8" x14ac:dyDescent="0.3">
      <c r="A46" s="22" t="s">
        <v>221</v>
      </c>
      <c r="B46" s="23">
        <v>95.35</v>
      </c>
      <c r="C46" s="23">
        <v>108.75</v>
      </c>
      <c r="D46" s="23">
        <v>142.35</v>
      </c>
      <c r="E46" s="23">
        <v>18.600000000000001</v>
      </c>
      <c r="F46" s="23">
        <v>146.94999999999999</v>
      </c>
      <c r="G46" s="23">
        <v>19.55</v>
      </c>
      <c r="H46" s="23">
        <v>531.54999999999995</v>
      </c>
    </row>
    <row r="47" spans="1:8" x14ac:dyDescent="0.3">
      <c r="A47" s="22" t="s">
        <v>235</v>
      </c>
      <c r="B47" s="23">
        <v>147.80000000000001</v>
      </c>
      <c r="C47" s="23">
        <v>200.10000000000002</v>
      </c>
      <c r="D47" s="23">
        <v>77.650000000000006</v>
      </c>
      <c r="E47" s="23">
        <v>24.4</v>
      </c>
      <c r="F47" s="23">
        <v>49.75</v>
      </c>
      <c r="G47" s="23">
        <v>36.049999999999997</v>
      </c>
      <c r="H47" s="23">
        <v>535.75</v>
      </c>
    </row>
    <row r="48" spans="1:8" x14ac:dyDescent="0.3">
      <c r="A48" s="22" t="s">
        <v>247</v>
      </c>
      <c r="B48" s="23">
        <v>108.85</v>
      </c>
      <c r="C48" s="23">
        <v>200.2</v>
      </c>
      <c r="D48" s="23">
        <v>155.25</v>
      </c>
      <c r="E48" s="23">
        <v>177.20000000000002</v>
      </c>
      <c r="F48" s="23">
        <v>153</v>
      </c>
      <c r="G48" s="23"/>
      <c r="H48" s="23">
        <v>794.5</v>
      </c>
    </row>
    <row r="49" spans="1:8" x14ac:dyDescent="0.3">
      <c r="A49" s="22" t="s">
        <v>263</v>
      </c>
      <c r="B49" s="23">
        <v>132.5</v>
      </c>
      <c r="C49" s="23">
        <v>90.1</v>
      </c>
      <c r="D49" s="23">
        <v>99.3</v>
      </c>
      <c r="E49" s="23">
        <v>77.75</v>
      </c>
      <c r="F49" s="23">
        <v>29.4</v>
      </c>
      <c r="G49" s="23">
        <v>32.049999999999997</v>
      </c>
      <c r="H49" s="23">
        <v>461.09999999999997</v>
      </c>
    </row>
    <row r="50" spans="1:8" x14ac:dyDescent="0.3">
      <c r="A50" s="22" t="s">
        <v>276</v>
      </c>
      <c r="B50" s="23"/>
      <c r="C50" s="23">
        <v>238</v>
      </c>
      <c r="D50" s="23">
        <v>63.75</v>
      </c>
      <c r="E50" s="23">
        <v>157.35</v>
      </c>
      <c r="F50" s="23">
        <v>194.75</v>
      </c>
      <c r="G50" s="23">
        <v>61.6</v>
      </c>
      <c r="H50" s="23">
        <v>715.45</v>
      </c>
    </row>
    <row r="51" spans="1:8" x14ac:dyDescent="0.3">
      <c r="A51" s="22" t="s">
        <v>292</v>
      </c>
      <c r="B51" s="23"/>
      <c r="C51" s="23">
        <v>19.399999999999999</v>
      </c>
      <c r="D51" s="23">
        <v>70</v>
      </c>
      <c r="E51" s="23">
        <v>55.5</v>
      </c>
      <c r="F51" s="23"/>
      <c r="G51" s="23">
        <v>131.94999999999999</v>
      </c>
      <c r="H51" s="23">
        <v>276.85000000000002</v>
      </c>
    </row>
    <row r="52" spans="1:8" x14ac:dyDescent="0.3">
      <c r="A52" s="22" t="s">
        <v>301</v>
      </c>
      <c r="B52" s="23"/>
      <c r="C52" s="23">
        <v>128.65</v>
      </c>
      <c r="D52" s="23">
        <v>142.85</v>
      </c>
      <c r="E52" s="23">
        <v>108.4</v>
      </c>
      <c r="F52" s="23">
        <v>193.85</v>
      </c>
      <c r="G52" s="23">
        <v>35.950000000000003</v>
      </c>
      <c r="H52" s="23">
        <v>609.70000000000005</v>
      </c>
    </row>
    <row r="53" spans="1:8" x14ac:dyDescent="0.3">
      <c r="A53" s="22" t="s">
        <v>316</v>
      </c>
      <c r="B53" s="23"/>
      <c r="C53" s="23">
        <v>37.799999999999997</v>
      </c>
      <c r="D53" s="23">
        <v>118.39999999999999</v>
      </c>
      <c r="E53" s="23">
        <v>161.6</v>
      </c>
      <c r="F53" s="23"/>
      <c r="G53" s="23">
        <v>172.3</v>
      </c>
      <c r="H53" s="23">
        <v>490.09999999999997</v>
      </c>
    </row>
    <row r="54" spans="1:8" x14ac:dyDescent="0.3">
      <c r="A54" s="22" t="s">
        <v>328</v>
      </c>
      <c r="B54" s="23">
        <v>46.85</v>
      </c>
      <c r="C54" s="23">
        <v>156.75</v>
      </c>
      <c r="D54" s="23">
        <v>111.55</v>
      </c>
      <c r="E54" s="23"/>
      <c r="F54" s="23">
        <v>67.8</v>
      </c>
      <c r="G54" s="23">
        <v>110.30000000000001</v>
      </c>
      <c r="H54" s="23">
        <v>493.25</v>
      </c>
    </row>
    <row r="55" spans="1:8" x14ac:dyDescent="0.3">
      <c r="A55" s="22" t="s">
        <v>339</v>
      </c>
      <c r="B55" s="23"/>
      <c r="C55" s="23">
        <v>91.9</v>
      </c>
      <c r="D55" s="23"/>
      <c r="E55" s="23">
        <v>39.200000000000003</v>
      </c>
      <c r="F55" s="23"/>
      <c r="G55" s="23">
        <v>27.1</v>
      </c>
      <c r="H55" s="23">
        <v>158.20000000000002</v>
      </c>
    </row>
    <row r="56" spans="1:8" x14ac:dyDescent="0.3">
      <c r="A56" s="22" t="s">
        <v>344</v>
      </c>
      <c r="B56" s="23">
        <v>59.75</v>
      </c>
      <c r="C56" s="23">
        <v>22.6</v>
      </c>
      <c r="D56" s="23">
        <v>97</v>
      </c>
      <c r="E56" s="23">
        <v>164.35</v>
      </c>
      <c r="F56" s="23">
        <v>120.35</v>
      </c>
      <c r="G56" s="23">
        <v>126.1</v>
      </c>
      <c r="H56" s="23">
        <v>590.15</v>
      </c>
    </row>
    <row r="57" spans="1:8" x14ac:dyDescent="0.3">
      <c r="A57" s="22" t="s">
        <v>360</v>
      </c>
      <c r="B57" s="23">
        <v>236.99999999999997</v>
      </c>
      <c r="C57" s="23">
        <v>50.4</v>
      </c>
      <c r="D57" s="23">
        <v>67.349999999999994</v>
      </c>
      <c r="E57" s="23">
        <v>113.5</v>
      </c>
      <c r="F57" s="23">
        <v>147.9</v>
      </c>
      <c r="G57" s="23">
        <v>368.15</v>
      </c>
      <c r="H57" s="23">
        <v>984.3</v>
      </c>
    </row>
    <row r="58" spans="1:8" x14ac:dyDescent="0.3">
      <c r="A58" s="22" t="s">
        <v>379</v>
      </c>
      <c r="B58" s="23"/>
      <c r="C58" s="23"/>
      <c r="D58" s="23">
        <v>55.3</v>
      </c>
      <c r="E58" s="23">
        <v>99.75</v>
      </c>
      <c r="F58" s="23">
        <v>69.349999999999994</v>
      </c>
      <c r="G58" s="23">
        <v>149.05000000000001</v>
      </c>
      <c r="H58" s="23">
        <v>373.45000000000005</v>
      </c>
    </row>
    <row r="59" spans="1:8" x14ac:dyDescent="0.3">
      <c r="A59" s="22" t="s">
        <v>386</v>
      </c>
      <c r="B59" s="23">
        <v>72.099999999999994</v>
      </c>
      <c r="C59" s="23">
        <v>80.8</v>
      </c>
      <c r="D59" s="23">
        <v>259.8</v>
      </c>
      <c r="E59" s="23">
        <v>108.2</v>
      </c>
      <c r="F59" s="23">
        <v>143.85000000000002</v>
      </c>
      <c r="G59" s="23">
        <v>146.4</v>
      </c>
      <c r="H59" s="23">
        <v>811.15</v>
      </c>
    </row>
    <row r="60" spans="1:8" x14ac:dyDescent="0.3">
      <c r="A60" s="22" t="s">
        <v>403</v>
      </c>
      <c r="B60" s="23"/>
      <c r="C60" s="23">
        <v>31.75</v>
      </c>
      <c r="D60" s="23"/>
      <c r="E60" s="23">
        <v>152.44999999999999</v>
      </c>
      <c r="F60" s="23">
        <v>64.2</v>
      </c>
      <c r="G60" s="23">
        <v>81.8</v>
      </c>
      <c r="H60" s="23">
        <v>330.2</v>
      </c>
    </row>
    <row r="61" spans="1:8" x14ac:dyDescent="0.3">
      <c r="A61" s="22" t="s">
        <v>412</v>
      </c>
      <c r="B61" s="23">
        <v>51.7</v>
      </c>
      <c r="C61" s="23">
        <v>33.65</v>
      </c>
      <c r="D61" s="23">
        <v>99.05</v>
      </c>
      <c r="E61" s="23">
        <v>199.14999999999998</v>
      </c>
      <c r="F61" s="23">
        <v>181.75</v>
      </c>
      <c r="G61" s="23">
        <v>113.75</v>
      </c>
      <c r="H61" s="23">
        <v>679.05</v>
      </c>
    </row>
    <row r="62" spans="1:8" x14ac:dyDescent="0.3">
      <c r="A62" s="22" t="s">
        <v>425</v>
      </c>
      <c r="B62" s="23">
        <v>78.2</v>
      </c>
      <c r="C62" s="23">
        <v>10.050000000000001</v>
      </c>
      <c r="D62" s="23">
        <v>16.850000000000001</v>
      </c>
      <c r="E62" s="23"/>
      <c r="F62" s="23"/>
      <c r="G62" s="23">
        <v>77.8</v>
      </c>
      <c r="H62" s="23">
        <v>182.89999999999998</v>
      </c>
    </row>
    <row r="63" spans="1:8" x14ac:dyDescent="0.3">
      <c r="A63" s="22" t="s">
        <v>431</v>
      </c>
      <c r="B63" s="23"/>
      <c r="C63" s="23">
        <v>127.80000000000001</v>
      </c>
      <c r="D63" s="23">
        <v>208.45</v>
      </c>
      <c r="E63" s="23">
        <v>122.3</v>
      </c>
      <c r="F63" s="23">
        <v>84.75</v>
      </c>
      <c r="G63" s="23">
        <v>129.15</v>
      </c>
      <c r="H63" s="23">
        <v>672.44999999999993</v>
      </c>
    </row>
    <row r="64" spans="1:8" x14ac:dyDescent="0.3">
      <c r="A64" s="22" t="s">
        <v>446</v>
      </c>
      <c r="B64" s="23">
        <v>19</v>
      </c>
      <c r="C64" s="23">
        <v>161.75</v>
      </c>
      <c r="D64" s="23">
        <v>58.6</v>
      </c>
      <c r="E64" s="23">
        <v>57.3</v>
      </c>
      <c r="F64" s="23">
        <v>120.9</v>
      </c>
      <c r="G64" s="23">
        <v>43.55</v>
      </c>
      <c r="H64" s="23">
        <v>461.09999999999997</v>
      </c>
    </row>
    <row r="65" spans="1:8" x14ac:dyDescent="0.3">
      <c r="A65" s="22" t="s">
        <v>458</v>
      </c>
      <c r="B65" s="23">
        <v>71.349999999999994</v>
      </c>
      <c r="C65" s="23"/>
      <c r="D65" s="23">
        <v>120.75</v>
      </c>
      <c r="E65" s="23">
        <v>40</v>
      </c>
      <c r="F65" s="23"/>
      <c r="G65" s="23">
        <v>36.549999999999997</v>
      </c>
      <c r="H65" s="23">
        <v>268.64999999999998</v>
      </c>
    </row>
    <row r="66" spans="1:8" x14ac:dyDescent="0.3">
      <c r="A66" s="22" t="s">
        <v>467</v>
      </c>
      <c r="B66" s="23"/>
      <c r="C66" s="23">
        <v>50.6</v>
      </c>
      <c r="D66" s="23">
        <v>269.7</v>
      </c>
      <c r="E66" s="23">
        <v>174.6</v>
      </c>
      <c r="F66" s="23">
        <v>67.95</v>
      </c>
      <c r="G66" s="23"/>
      <c r="H66" s="23">
        <v>562.85</v>
      </c>
    </row>
    <row r="67" spans="1:8" x14ac:dyDescent="0.3">
      <c r="A67" s="22" t="s">
        <v>480</v>
      </c>
      <c r="B67" s="23">
        <v>26.95</v>
      </c>
      <c r="C67" s="23">
        <v>63.45</v>
      </c>
      <c r="D67" s="23"/>
      <c r="E67" s="23">
        <v>49</v>
      </c>
      <c r="F67" s="23"/>
      <c r="G67" s="23">
        <v>46.1</v>
      </c>
      <c r="H67" s="23">
        <v>185.5</v>
      </c>
    </row>
    <row r="68" spans="1:8" x14ac:dyDescent="0.3">
      <c r="A68" s="22" t="s">
        <v>485</v>
      </c>
      <c r="B68" s="23">
        <v>126</v>
      </c>
      <c r="C68" s="23">
        <v>212.39999999999998</v>
      </c>
      <c r="D68" s="23">
        <v>112.45</v>
      </c>
      <c r="E68" s="23">
        <v>26.35</v>
      </c>
      <c r="F68" s="23">
        <v>103.05000000000001</v>
      </c>
      <c r="G68" s="23">
        <v>60.5</v>
      </c>
      <c r="H68" s="23">
        <v>640.75</v>
      </c>
    </row>
    <row r="69" spans="1:8" x14ac:dyDescent="0.3">
      <c r="A69" s="22" t="s">
        <v>500</v>
      </c>
      <c r="B69" s="23">
        <v>26.2</v>
      </c>
      <c r="C69" s="23"/>
      <c r="D69" s="23">
        <v>68.599999999999994</v>
      </c>
      <c r="E69" s="23">
        <v>119</v>
      </c>
      <c r="F69" s="23">
        <v>62.55</v>
      </c>
      <c r="G69" s="23">
        <v>147.20000000000002</v>
      </c>
      <c r="H69" s="23">
        <v>423.55000000000007</v>
      </c>
    </row>
    <row r="70" spans="1:8" x14ac:dyDescent="0.3">
      <c r="A70" s="22" t="s">
        <v>510</v>
      </c>
      <c r="B70" s="23">
        <v>102.6</v>
      </c>
      <c r="C70" s="23"/>
      <c r="D70" s="23">
        <v>30.5</v>
      </c>
      <c r="E70" s="23">
        <v>52.45</v>
      </c>
      <c r="F70" s="23">
        <v>76.099999999999994</v>
      </c>
      <c r="G70" s="23">
        <v>33.9</v>
      </c>
      <c r="H70" s="23">
        <v>295.54999999999995</v>
      </c>
    </row>
    <row r="71" spans="1:8" x14ac:dyDescent="0.3">
      <c r="A71" s="22" t="s">
        <v>518</v>
      </c>
      <c r="B71" s="23">
        <v>72.25</v>
      </c>
      <c r="C71" s="23">
        <v>87.800000000000011</v>
      </c>
      <c r="D71" s="23">
        <v>52.85</v>
      </c>
      <c r="E71" s="23">
        <v>37.299999999999997</v>
      </c>
      <c r="F71" s="23">
        <v>126.8</v>
      </c>
      <c r="G71" s="23">
        <v>66.400000000000006</v>
      </c>
      <c r="H71" s="23">
        <v>443.4</v>
      </c>
    </row>
    <row r="72" spans="1:8" x14ac:dyDescent="0.3">
      <c r="A72" s="22" t="s">
        <v>529</v>
      </c>
      <c r="B72" s="23">
        <v>50.75</v>
      </c>
      <c r="C72" s="23">
        <v>264.20000000000005</v>
      </c>
      <c r="D72" s="23"/>
      <c r="E72" s="23">
        <v>98.6</v>
      </c>
      <c r="F72" s="23">
        <v>65.45</v>
      </c>
      <c r="G72" s="23">
        <v>85.4</v>
      </c>
      <c r="H72" s="23">
        <v>564.40000000000009</v>
      </c>
    </row>
    <row r="73" spans="1:8" x14ac:dyDescent="0.3">
      <c r="A73" s="22" t="s">
        <v>542</v>
      </c>
      <c r="B73" s="23">
        <v>34.4</v>
      </c>
      <c r="C73" s="23">
        <v>97.4</v>
      </c>
      <c r="D73" s="23">
        <v>212</v>
      </c>
      <c r="E73" s="23">
        <v>63.35</v>
      </c>
      <c r="F73" s="23">
        <v>64.849999999999994</v>
      </c>
      <c r="G73" s="23">
        <v>67.849999999999994</v>
      </c>
      <c r="H73" s="23">
        <v>539.85</v>
      </c>
    </row>
    <row r="74" spans="1:8" x14ac:dyDescent="0.3">
      <c r="A74" s="22" t="s">
        <v>556</v>
      </c>
      <c r="B74" s="23"/>
      <c r="C74" s="23">
        <v>171.8</v>
      </c>
      <c r="D74" s="23"/>
      <c r="E74" s="23"/>
      <c r="F74" s="23">
        <v>44.2</v>
      </c>
      <c r="G74" s="23">
        <v>98.800000000000011</v>
      </c>
      <c r="H74" s="23">
        <v>314.8</v>
      </c>
    </row>
    <row r="75" spans="1:8" x14ac:dyDescent="0.3">
      <c r="A75" s="22" t="s">
        <v>584</v>
      </c>
      <c r="B75" s="23">
        <v>3185.849999999999</v>
      </c>
      <c r="C75" s="23">
        <v>3999.2000000000012</v>
      </c>
      <c r="D75" s="23">
        <v>4376.1500000000005</v>
      </c>
      <c r="E75" s="23">
        <v>4015.8999999999996</v>
      </c>
      <c r="F75" s="23">
        <v>3568.1999999999994</v>
      </c>
      <c r="G75" s="23">
        <v>3904.900000000001</v>
      </c>
      <c r="H75" s="23">
        <v>23050.200000000004</v>
      </c>
    </row>
  </sheetData>
  <mergeCells count="3">
    <mergeCell ref="A1:C1"/>
    <mergeCell ref="A11:B11"/>
    <mergeCell ref="A22:H2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238F-78CA-44DE-A707-5C325269D220}">
  <dimension ref="A1:Y8"/>
  <sheetViews>
    <sheetView tabSelected="1" workbookViewId="0">
      <selection sqref="A1:Y3"/>
    </sheetView>
  </sheetViews>
  <sheetFormatPr defaultRowHeight="14.4" x14ac:dyDescent="0.3"/>
  <cols>
    <col min="1" max="16384" width="8.88671875" style="39"/>
  </cols>
  <sheetData>
    <row r="1" spans="1:25" customFormat="1" x14ac:dyDescent="0.3">
      <c r="A1" s="28" t="s">
        <v>590</v>
      </c>
      <c r="B1" s="28"/>
      <c r="C1" s="28"/>
      <c r="D1" s="28"/>
      <c r="E1" s="28"/>
      <c r="F1" s="28"/>
      <c r="G1" s="28"/>
      <c r="H1" s="28"/>
      <c r="I1" s="28"/>
      <c r="J1" s="28"/>
      <c r="K1" s="28"/>
      <c r="L1" s="28"/>
      <c r="M1" s="28"/>
      <c r="N1" s="28"/>
      <c r="O1" s="28"/>
      <c r="P1" s="28"/>
      <c r="Q1" s="28"/>
      <c r="R1" s="28"/>
      <c r="S1" s="28"/>
      <c r="T1" s="28"/>
      <c r="U1" s="28"/>
      <c r="V1" s="28"/>
      <c r="W1" s="28"/>
      <c r="X1" s="28"/>
      <c r="Y1" s="28"/>
    </row>
    <row r="2" spans="1:25" customFormat="1" x14ac:dyDescent="0.3">
      <c r="A2" s="28"/>
      <c r="B2" s="28"/>
      <c r="C2" s="28"/>
      <c r="D2" s="28"/>
      <c r="E2" s="28"/>
      <c r="F2" s="28"/>
      <c r="G2" s="28"/>
      <c r="H2" s="28"/>
      <c r="I2" s="28"/>
      <c r="J2" s="28"/>
      <c r="K2" s="28"/>
      <c r="L2" s="28"/>
      <c r="M2" s="28"/>
      <c r="N2" s="28"/>
      <c r="O2" s="28"/>
      <c r="P2" s="28"/>
      <c r="Q2" s="28"/>
      <c r="R2" s="28"/>
      <c r="S2" s="28"/>
      <c r="T2" s="28"/>
      <c r="U2" s="28"/>
      <c r="V2" s="28"/>
      <c r="W2" s="28"/>
      <c r="X2" s="28"/>
      <c r="Y2" s="28"/>
    </row>
    <row r="3" spans="1:25" customFormat="1" ht="28.2" customHeight="1" thickBot="1" x14ac:dyDescent="0.35">
      <c r="A3" s="28"/>
      <c r="B3" s="28"/>
      <c r="C3" s="28"/>
      <c r="D3" s="28"/>
      <c r="E3" s="28"/>
      <c r="F3" s="28"/>
      <c r="G3" s="28"/>
      <c r="H3" s="28"/>
      <c r="I3" s="28"/>
      <c r="J3" s="28"/>
      <c r="K3" s="28"/>
      <c r="L3" s="28"/>
      <c r="M3" s="28"/>
      <c r="N3" s="28"/>
      <c r="O3" s="28"/>
      <c r="P3" s="28"/>
      <c r="Q3" s="28"/>
      <c r="R3" s="28"/>
      <c r="S3" s="28"/>
      <c r="T3" s="28"/>
      <c r="U3" s="28"/>
      <c r="V3" s="28"/>
      <c r="W3" s="28"/>
      <c r="X3" s="28"/>
      <c r="Y3" s="28"/>
    </row>
    <row r="4" spans="1:25" s="27" customFormat="1" ht="17.399999999999999" x14ac:dyDescent="0.3">
      <c r="A4" s="29" t="s">
        <v>591</v>
      </c>
      <c r="B4" s="30"/>
      <c r="C4" s="30"/>
      <c r="D4" s="30"/>
      <c r="E4" s="31"/>
      <c r="F4" s="29" t="s">
        <v>592</v>
      </c>
      <c r="G4" s="30"/>
      <c r="H4" s="30"/>
      <c r="I4" s="30"/>
      <c r="J4" s="31"/>
      <c r="K4" s="29" t="s">
        <v>593</v>
      </c>
      <c r="L4" s="30"/>
      <c r="M4" s="30"/>
      <c r="N4" s="30"/>
      <c r="O4" s="31"/>
      <c r="P4" s="29" t="s">
        <v>594</v>
      </c>
      <c r="Q4" s="30"/>
      <c r="R4" s="30"/>
      <c r="S4" s="30"/>
      <c r="T4" s="31"/>
    </row>
    <row r="5" spans="1:25" s="27" customFormat="1" x14ac:dyDescent="0.3">
      <c r="A5" s="35">
        <f>KPIs!B3</f>
        <v>50</v>
      </c>
      <c r="B5" s="33"/>
      <c r="C5" s="33"/>
      <c r="D5" s="33"/>
      <c r="E5" s="34"/>
      <c r="F5" s="32">
        <f>KPIs!B4</f>
        <v>46.100399999999993</v>
      </c>
      <c r="G5" s="33"/>
      <c r="H5" s="33"/>
      <c r="I5" s="33"/>
      <c r="J5" s="34"/>
      <c r="K5" s="32" t="str">
        <f>KPIs!B5</f>
        <v>Food</v>
      </c>
      <c r="L5" s="33"/>
      <c r="M5" s="33"/>
      <c r="N5" s="33"/>
      <c r="O5" s="34"/>
      <c r="P5" s="32" t="str">
        <f>KPIs!B6</f>
        <v>U033</v>
      </c>
      <c r="Q5" s="33"/>
      <c r="R5" s="33"/>
      <c r="S5" s="33"/>
      <c r="T5" s="34"/>
    </row>
    <row r="6" spans="1:25" s="27" customFormat="1" x14ac:dyDescent="0.3">
      <c r="A6" s="35"/>
      <c r="B6" s="33"/>
      <c r="C6" s="33"/>
      <c r="D6" s="33"/>
      <c r="E6" s="34"/>
      <c r="F6" s="35"/>
      <c r="G6" s="33"/>
      <c r="H6" s="33"/>
      <c r="I6" s="33"/>
      <c r="J6" s="34"/>
      <c r="K6" s="35"/>
      <c r="L6" s="33"/>
      <c r="M6" s="33"/>
      <c r="N6" s="33"/>
      <c r="O6" s="34"/>
      <c r="P6" s="35"/>
      <c r="Q6" s="33"/>
      <c r="R6" s="33"/>
      <c r="S6" s="33"/>
      <c r="T6" s="34"/>
    </row>
    <row r="7" spans="1:25" s="27" customFormat="1" x14ac:dyDescent="0.3">
      <c r="A7" s="35"/>
      <c r="B7" s="33"/>
      <c r="C7" s="33"/>
      <c r="D7" s="33"/>
      <c r="E7" s="34"/>
      <c r="F7" s="35"/>
      <c r="G7" s="33"/>
      <c r="H7" s="33"/>
      <c r="I7" s="33"/>
      <c r="J7" s="34"/>
      <c r="K7" s="35"/>
      <c r="L7" s="33"/>
      <c r="M7" s="33"/>
      <c r="N7" s="33"/>
      <c r="O7" s="34"/>
      <c r="P7" s="35"/>
      <c r="Q7" s="33"/>
      <c r="R7" s="33"/>
      <c r="S7" s="33"/>
      <c r="T7" s="34"/>
    </row>
    <row r="8" spans="1:25" s="27" customFormat="1" ht="15" thickBot="1" x14ac:dyDescent="0.35">
      <c r="A8" s="36"/>
      <c r="B8" s="37"/>
      <c r="C8" s="37"/>
      <c r="D8" s="37"/>
      <c r="E8" s="38"/>
      <c r="F8" s="36"/>
      <c r="G8" s="37"/>
      <c r="H8" s="37"/>
      <c r="I8" s="37"/>
      <c r="J8" s="38"/>
      <c r="K8" s="36"/>
      <c r="L8" s="37"/>
      <c r="M8" s="37"/>
      <c r="N8" s="37"/>
      <c r="O8" s="38"/>
      <c r="P8" s="36"/>
      <c r="Q8" s="37"/>
      <c r="R8" s="37"/>
      <c r="S8" s="37"/>
      <c r="T8" s="38"/>
    </row>
  </sheetData>
  <mergeCells count="9">
    <mergeCell ref="P5:T8"/>
    <mergeCell ref="A1:Y3"/>
    <mergeCell ref="A4:E4"/>
    <mergeCell ref="A5:E8"/>
    <mergeCell ref="F4:J4"/>
    <mergeCell ref="F5:J8"/>
    <mergeCell ref="K4:O4"/>
    <mergeCell ref="K5:O8"/>
    <mergeCell ref="P4: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User_data</vt:lpstr>
      <vt:lpstr>Weight_Chart</vt:lpstr>
      <vt:lpstr>Engagement_per_Category</vt:lpstr>
      <vt:lpstr>KPIs</vt:lpstr>
      <vt:lpstr>Pivot tables</vt:lpstr>
      <vt:lpstr>Dashboard</vt:lpstr>
      <vt:lpstr>Category</vt:lpstr>
      <vt:lpstr>Comments</vt:lpstr>
      <vt:lpstr>Engagement_Score</vt:lpstr>
      <vt:lpstr>Likes</vt:lpstr>
      <vt:lpstr>Post_ID</vt:lpstr>
      <vt:lpstr>Saves</vt:lpstr>
      <vt:lpstr>User_ID</vt:lpstr>
      <vt:lpstr>Watch_Time_sec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Swaraj Rathod</cp:lastModifiedBy>
  <dcterms:created xsi:type="dcterms:W3CDTF">2025-10-30T20:36:08Z</dcterms:created>
  <dcterms:modified xsi:type="dcterms:W3CDTF">2025-10-30T22:08:22Z</dcterms:modified>
</cp:coreProperties>
</file>